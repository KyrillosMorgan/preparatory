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preparatory\Tools\"/>
    </mc:Choice>
  </mc:AlternateContent>
  <xr:revisionPtr revIDLastSave="0" documentId="13_ncr:1_{FBDF8EAD-BA58-43A0-BDFC-1229293612C4}" xr6:coauthVersionLast="47" xr6:coauthVersionMax="47" xr10:uidLastSave="{00000000-0000-0000-0000-000000000000}"/>
  <bookViews>
    <workbookView xWindow="-120" yWindow="-120" windowWidth="15600" windowHeight="11310" activeTab="3" xr2:uid="{00000000-000D-0000-FFFF-FFFF00000000}"/>
  </bookViews>
  <sheets>
    <sheet name="Main sheet" sheetId="1" r:id="rId1"/>
    <sheet name="Details" sheetId="2" r:id="rId2"/>
    <sheet name="Att DB" sheetId="12" r:id="rId3"/>
    <sheet name="Att log" sheetId="11" r:id="rId4"/>
    <sheet name="Details_Filtered" sheetId="3" r:id="rId5"/>
  </sheets>
  <definedNames>
    <definedName name="ExternalData_1" localSheetId="2" hidden="1">'Att DB'!$A$1:$K$724</definedName>
    <definedName name="ExternalData_1" localSheetId="3" hidden="1">'Att log'!$A$1:$M$179</definedName>
    <definedName name="prep_details.od" localSheetId="1" hidden="1">Details!$A$1:$U$324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/>
  <c r="G2" i="1" a="1"/>
  <c r="G2" i="1" s="1"/>
  <c r="F5" i="1" s="1" a="1"/>
  <c r="F5" i="1" s="1"/>
  <c r="H6" i="1"/>
  <c r="G1" i="1" a="1"/>
  <c r="G1" i="1" s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C22" i="1" s="1" a="1"/>
  <c r="C22" i="1" s="1"/>
  <c r="E5" i="1" l="1"/>
  <c r="E6" i="1"/>
  <c r="E10" i="1"/>
  <c r="E14" i="1"/>
  <c r="E18" i="1"/>
  <c r="E22" i="1"/>
  <c r="E26" i="1"/>
  <c r="E30" i="1"/>
  <c r="E34" i="1"/>
  <c r="E38" i="1"/>
  <c r="E42" i="1"/>
  <c r="E46" i="1"/>
  <c r="E50" i="1"/>
  <c r="E54" i="1"/>
  <c r="E58" i="1"/>
  <c r="E62" i="1"/>
  <c r="E66" i="1"/>
  <c r="E70" i="1"/>
  <c r="E74" i="1"/>
  <c r="E78" i="1"/>
  <c r="E82" i="1"/>
  <c r="E86" i="1"/>
  <c r="E90" i="1"/>
  <c r="E94" i="1"/>
  <c r="E98" i="1"/>
  <c r="E102" i="1"/>
  <c r="E106" i="1"/>
  <c r="E110" i="1"/>
  <c r="E114" i="1"/>
  <c r="E118" i="1"/>
  <c r="E122" i="1"/>
  <c r="E126" i="1"/>
  <c r="E130" i="1"/>
  <c r="E134" i="1"/>
  <c r="E138" i="1"/>
  <c r="E142" i="1"/>
  <c r="E146" i="1"/>
  <c r="E150" i="1"/>
  <c r="E154" i="1"/>
  <c r="E158" i="1"/>
  <c r="E162" i="1"/>
  <c r="E166" i="1"/>
  <c r="E170" i="1"/>
  <c r="E174" i="1"/>
  <c r="E178" i="1"/>
  <c r="E182" i="1"/>
  <c r="E186" i="1"/>
  <c r="E190" i="1"/>
  <c r="E194" i="1"/>
  <c r="E198" i="1"/>
  <c r="E202" i="1"/>
  <c r="E206" i="1"/>
  <c r="E210" i="1"/>
  <c r="E214" i="1"/>
  <c r="E218" i="1"/>
  <c r="E222" i="1"/>
  <c r="E234" i="1"/>
  <c r="E238" i="1"/>
  <c r="E242" i="1"/>
  <c r="E254" i="1"/>
  <c r="E266" i="1"/>
  <c r="E278" i="1"/>
  <c r="E290" i="1"/>
  <c r="E7" i="1"/>
  <c r="E11" i="1"/>
  <c r="E15" i="1"/>
  <c r="E19" i="1"/>
  <c r="E23" i="1"/>
  <c r="E27" i="1"/>
  <c r="E31" i="1"/>
  <c r="E35" i="1"/>
  <c r="E39" i="1"/>
  <c r="E43" i="1"/>
  <c r="E47" i="1"/>
  <c r="E51" i="1"/>
  <c r="E55" i="1"/>
  <c r="E59" i="1"/>
  <c r="E63" i="1"/>
  <c r="E67" i="1"/>
  <c r="E71" i="1"/>
  <c r="E75" i="1"/>
  <c r="E79" i="1"/>
  <c r="E83" i="1"/>
  <c r="E87" i="1"/>
  <c r="E91" i="1"/>
  <c r="E95" i="1"/>
  <c r="E99" i="1"/>
  <c r="E103" i="1"/>
  <c r="E107" i="1"/>
  <c r="E111" i="1"/>
  <c r="E115" i="1"/>
  <c r="E119" i="1"/>
  <c r="E123" i="1"/>
  <c r="E127" i="1"/>
  <c r="E131" i="1"/>
  <c r="E135" i="1"/>
  <c r="E139" i="1"/>
  <c r="E143" i="1"/>
  <c r="E147" i="1"/>
  <c r="E151" i="1"/>
  <c r="E155" i="1"/>
  <c r="E159" i="1"/>
  <c r="E163" i="1"/>
  <c r="E167" i="1"/>
  <c r="E171" i="1"/>
  <c r="E175" i="1"/>
  <c r="E179" i="1"/>
  <c r="E183" i="1"/>
  <c r="E187" i="1"/>
  <c r="E191" i="1"/>
  <c r="E195" i="1"/>
  <c r="E8" i="1"/>
  <c r="E12" i="1"/>
  <c r="E16" i="1"/>
  <c r="E20" i="1"/>
  <c r="E24" i="1"/>
  <c r="E28" i="1"/>
  <c r="E32" i="1"/>
  <c r="E36" i="1"/>
  <c r="E40" i="1"/>
  <c r="E44" i="1"/>
  <c r="E48" i="1"/>
  <c r="E52" i="1"/>
  <c r="E56" i="1"/>
  <c r="E60" i="1"/>
  <c r="E64" i="1"/>
  <c r="E68" i="1"/>
  <c r="E72" i="1"/>
  <c r="E76" i="1"/>
  <c r="E80" i="1"/>
  <c r="E84" i="1"/>
  <c r="E88" i="1"/>
  <c r="E92" i="1"/>
  <c r="E96" i="1"/>
  <c r="E100" i="1"/>
  <c r="E104" i="1"/>
  <c r="E108" i="1"/>
  <c r="E112" i="1"/>
  <c r="E116" i="1"/>
  <c r="E120" i="1"/>
  <c r="E124" i="1"/>
  <c r="E128" i="1"/>
  <c r="E132" i="1"/>
  <c r="E136" i="1"/>
  <c r="E140" i="1"/>
  <c r="E144" i="1"/>
  <c r="E148" i="1"/>
  <c r="E152" i="1"/>
  <c r="E156" i="1"/>
  <c r="E160" i="1"/>
  <c r="E164" i="1"/>
  <c r="E168" i="1"/>
  <c r="E172" i="1"/>
  <c r="E176" i="1"/>
  <c r="E180" i="1"/>
  <c r="E184" i="1"/>
  <c r="E188" i="1"/>
  <c r="E192" i="1"/>
  <c r="E196" i="1"/>
  <c r="E200" i="1"/>
  <c r="E204" i="1"/>
  <c r="E208" i="1"/>
  <c r="E212" i="1"/>
  <c r="E216" i="1"/>
  <c r="E220" i="1"/>
  <c r="E224" i="1"/>
  <c r="E228" i="1"/>
  <c r="E232" i="1"/>
  <c r="E236" i="1"/>
  <c r="E240" i="1"/>
  <c r="E244" i="1"/>
  <c r="E248" i="1"/>
  <c r="E252" i="1"/>
  <c r="E256" i="1"/>
  <c r="E260" i="1"/>
  <c r="E264" i="1"/>
  <c r="E268" i="1"/>
  <c r="E272" i="1"/>
  <c r="E276" i="1"/>
  <c r="E280" i="1"/>
  <c r="E284" i="1"/>
  <c r="E288" i="1"/>
  <c r="E292" i="1"/>
  <c r="E296" i="1"/>
  <c r="E300" i="1"/>
  <c r="E304" i="1"/>
  <c r="E308" i="1"/>
  <c r="E312" i="1"/>
  <c r="E316" i="1"/>
  <c r="E320" i="1"/>
  <c r="E324" i="1"/>
  <c r="E230" i="1"/>
  <c r="E250" i="1"/>
  <c r="E262" i="1"/>
  <c r="E274" i="1"/>
  <c r="E286" i="1"/>
  <c r="E9" i="1"/>
  <c r="E13" i="1"/>
  <c r="E17" i="1"/>
  <c r="E21" i="1"/>
  <c r="E25" i="1"/>
  <c r="E29" i="1"/>
  <c r="E33" i="1"/>
  <c r="E37" i="1"/>
  <c r="E41" i="1"/>
  <c r="E45" i="1"/>
  <c r="E49" i="1"/>
  <c r="E53" i="1"/>
  <c r="E57" i="1"/>
  <c r="E61" i="1"/>
  <c r="E65" i="1"/>
  <c r="E69" i="1"/>
  <c r="E73" i="1"/>
  <c r="E77" i="1"/>
  <c r="E81" i="1"/>
  <c r="E85" i="1"/>
  <c r="E89" i="1"/>
  <c r="E93" i="1"/>
  <c r="E97" i="1"/>
  <c r="E101" i="1"/>
  <c r="E105" i="1"/>
  <c r="E109" i="1"/>
  <c r="E113" i="1"/>
  <c r="E117" i="1"/>
  <c r="E121" i="1"/>
  <c r="E125" i="1"/>
  <c r="E129" i="1"/>
  <c r="E133" i="1"/>
  <c r="E137" i="1"/>
  <c r="E141" i="1"/>
  <c r="E145" i="1"/>
  <c r="E149" i="1"/>
  <c r="E153" i="1"/>
  <c r="E157" i="1"/>
  <c r="E161" i="1"/>
  <c r="E165" i="1"/>
  <c r="E169" i="1"/>
  <c r="E173" i="1"/>
  <c r="E177" i="1"/>
  <c r="E181" i="1"/>
  <c r="E185" i="1"/>
  <c r="E189" i="1"/>
  <c r="E193" i="1"/>
  <c r="E197" i="1"/>
  <c r="E201" i="1"/>
  <c r="E205" i="1"/>
  <c r="E209" i="1"/>
  <c r="E213" i="1"/>
  <c r="E217" i="1"/>
  <c r="E221" i="1"/>
  <c r="E225" i="1"/>
  <c r="E229" i="1"/>
  <c r="E233" i="1"/>
  <c r="E237" i="1"/>
  <c r="E241" i="1"/>
  <c r="E245" i="1"/>
  <c r="E249" i="1"/>
  <c r="E253" i="1"/>
  <c r="E257" i="1"/>
  <c r="E261" i="1"/>
  <c r="E265" i="1"/>
  <c r="E269" i="1"/>
  <c r="E273" i="1"/>
  <c r="E277" i="1"/>
  <c r="E281" i="1"/>
  <c r="E285" i="1"/>
  <c r="E289" i="1"/>
  <c r="E293" i="1"/>
  <c r="E297" i="1"/>
  <c r="E301" i="1"/>
  <c r="E305" i="1"/>
  <c r="E309" i="1"/>
  <c r="E313" i="1"/>
  <c r="E317" i="1"/>
  <c r="E321" i="1"/>
  <c r="E325" i="1"/>
  <c r="E226" i="1"/>
  <c r="E246" i="1"/>
  <c r="E258" i="1"/>
  <c r="E270" i="1"/>
  <c r="E282" i="1"/>
  <c r="E311" i="1"/>
  <c r="E203" i="1"/>
  <c r="E303" i="1"/>
  <c r="E207" i="1"/>
  <c r="E223" i="1"/>
  <c r="E239" i="1"/>
  <c r="E255" i="1"/>
  <c r="E271" i="1"/>
  <c r="E287" i="1"/>
  <c r="E298" i="1"/>
  <c r="E306" i="1"/>
  <c r="E314" i="1"/>
  <c r="E322" i="1"/>
  <c r="E215" i="1"/>
  <c r="E231" i="1"/>
  <c r="E263" i="1"/>
  <c r="E294" i="1"/>
  <c r="E310" i="1"/>
  <c r="E326" i="1"/>
  <c r="E235" i="1"/>
  <c r="E283" i="1"/>
  <c r="E327" i="1"/>
  <c r="E211" i="1"/>
  <c r="E227" i="1"/>
  <c r="E243" i="1"/>
  <c r="E259" i="1"/>
  <c r="E275" i="1"/>
  <c r="E291" i="1"/>
  <c r="E299" i="1"/>
  <c r="E307" i="1"/>
  <c r="E315" i="1"/>
  <c r="E323" i="1"/>
  <c r="E199" i="1"/>
  <c r="E247" i="1"/>
  <c r="E279" i="1"/>
  <c r="E302" i="1"/>
  <c r="E318" i="1"/>
  <c r="E219" i="1"/>
  <c r="E251" i="1"/>
  <c r="E267" i="1"/>
  <c r="E295" i="1"/>
  <c r="E319" i="1"/>
  <c r="Q1" i="3" a="1"/>
  <c r="Q1" i="3" s="1"/>
  <c r="O1" i="3" a="1"/>
  <c r="O1" i="3" s="1"/>
  <c r="M1" i="3" a="1"/>
  <c r="M1" i="3" s="1"/>
  <c r="K1" i="3" a="1"/>
  <c r="K1" i="3" s="1"/>
  <c r="I1" i="3" a="1"/>
  <c r="I1" i="3" s="1"/>
  <c r="G1" i="3" a="1"/>
  <c r="G1" i="3" s="1"/>
  <c r="E1" i="3" a="1"/>
  <c r="E1" i="3" s="1"/>
  <c r="C1" i="3" a="1"/>
  <c r="C1" i="3" s="1"/>
  <c r="A1" i="3" a="1"/>
  <c r="A1" i="3" s="1"/>
  <c r="H5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4" i="1"/>
  <c r="H3" i="1"/>
  <c r="H2" i="1"/>
  <c r="AA8" i="3" a="1"/>
  <c r="AA3" i="3" a="1"/>
  <c r="Z1" i="3" a="1"/>
  <c r="AA2" i="3" a="1"/>
  <c r="Z2" i="3" a="1"/>
  <c r="Z6" i="3" a="1"/>
  <c r="Z7" i="3" a="1"/>
  <c r="Z8" i="3" a="1"/>
  <c r="AA7" i="3" a="1"/>
  <c r="AA5" i="3" a="1"/>
  <c r="AA6" i="3" a="1"/>
  <c r="Z4" i="3" a="1"/>
  <c r="AA1" i="3" a="1"/>
  <c r="AA4" i="3" a="1"/>
  <c r="Z3" i="3" a="1"/>
  <c r="Z5" i="3" a="1"/>
  <c r="C23" i="1" l="1" a="1"/>
  <c r="C23" i="1" s="1"/>
  <c r="C27" i="1" a="1"/>
  <c r="C27" i="1" s="1"/>
  <c r="C30" i="1" a="1"/>
  <c r="C30" i="1" s="1"/>
  <c r="C34" i="1" a="1"/>
  <c r="C34" i="1" s="1"/>
  <c r="C41" i="1" a="1"/>
  <c r="C41" i="1" s="1"/>
  <c r="C45" i="1" a="1"/>
  <c r="C45" i="1" s="1"/>
  <c r="C48" i="1" a="1"/>
  <c r="C48" i="1" s="1"/>
  <c r="C52" i="1" a="1"/>
  <c r="C52" i="1" s="1"/>
  <c r="C55" i="1" a="1"/>
  <c r="C55" i="1" s="1"/>
  <c r="C59" i="1" a="1"/>
  <c r="C59" i="1" s="1"/>
  <c r="C62" i="1" a="1"/>
  <c r="C62" i="1" s="1"/>
  <c r="C66" i="1" a="1"/>
  <c r="C66" i="1" s="1"/>
  <c r="C73" i="1" a="1"/>
  <c r="C73" i="1" s="1"/>
  <c r="C77" i="1" a="1"/>
  <c r="C77" i="1" s="1"/>
  <c r="C80" i="1" a="1"/>
  <c r="C80" i="1" s="1"/>
  <c r="C84" i="1" a="1"/>
  <c r="C84" i="1" s="1"/>
  <c r="C87" i="1" a="1"/>
  <c r="C87" i="1" s="1"/>
  <c r="C91" i="1" a="1"/>
  <c r="C91" i="1" s="1"/>
  <c r="C94" i="1" a="1"/>
  <c r="C94" i="1" s="1"/>
  <c r="C98" i="1" a="1"/>
  <c r="C98" i="1" s="1"/>
  <c r="C105" i="1" a="1"/>
  <c r="C105" i="1" s="1"/>
  <c r="C24" i="1" a="1"/>
  <c r="C24" i="1" s="1"/>
  <c r="C28" i="1" a="1"/>
  <c r="C28" i="1" s="1"/>
  <c r="C31" i="1" a="1"/>
  <c r="C31" i="1" s="1"/>
  <c r="C35" i="1" a="1"/>
  <c r="C35" i="1" s="1"/>
  <c r="C38" i="1" a="1"/>
  <c r="C38" i="1" s="1"/>
  <c r="C42" i="1" a="1"/>
  <c r="C42" i="1" s="1"/>
  <c r="C49" i="1" a="1"/>
  <c r="C49" i="1" s="1"/>
  <c r="C53" i="1" a="1"/>
  <c r="C53" i="1" s="1"/>
  <c r="C56" i="1" a="1"/>
  <c r="C56" i="1" s="1"/>
  <c r="C60" i="1" a="1"/>
  <c r="C60" i="1" s="1"/>
  <c r="C63" i="1" a="1"/>
  <c r="C63" i="1" s="1"/>
  <c r="C67" i="1" a="1"/>
  <c r="C67" i="1" s="1"/>
  <c r="C70" i="1" a="1"/>
  <c r="C70" i="1" s="1"/>
  <c r="C74" i="1" a="1"/>
  <c r="C74" i="1" s="1"/>
  <c r="C81" i="1" a="1"/>
  <c r="C81" i="1" s="1"/>
  <c r="C85" i="1" a="1"/>
  <c r="C85" i="1" s="1"/>
  <c r="C88" i="1" a="1"/>
  <c r="C88" i="1" s="1"/>
  <c r="C92" i="1" a="1"/>
  <c r="C92" i="1" s="1"/>
  <c r="C95" i="1" a="1"/>
  <c r="C95" i="1" s="1"/>
  <c r="C99" i="1" a="1"/>
  <c r="C99" i="1" s="1"/>
  <c r="C102" i="1" a="1"/>
  <c r="C102" i="1" s="1"/>
  <c r="C106" i="1" a="1"/>
  <c r="C106" i="1" s="1"/>
  <c r="C110" i="1" a="1"/>
  <c r="C110" i="1" s="1"/>
  <c r="C25" i="1" a="1"/>
  <c r="C25" i="1" s="1"/>
  <c r="C29" i="1" a="1"/>
  <c r="C29" i="1" s="1"/>
  <c r="C32" i="1" a="1"/>
  <c r="C32" i="1" s="1"/>
  <c r="C36" i="1" a="1"/>
  <c r="C36" i="1" s="1"/>
  <c r="C39" i="1" a="1"/>
  <c r="C39" i="1" s="1"/>
  <c r="C43" i="1" a="1"/>
  <c r="C43" i="1" s="1"/>
  <c r="C46" i="1" a="1"/>
  <c r="C46" i="1" s="1"/>
  <c r="C50" i="1" a="1"/>
  <c r="C50" i="1" s="1"/>
  <c r="C57" i="1" a="1"/>
  <c r="C57" i="1" s="1"/>
  <c r="C61" i="1" a="1"/>
  <c r="C61" i="1" s="1"/>
  <c r="C64" i="1" a="1"/>
  <c r="C64" i="1" s="1"/>
  <c r="C68" i="1" a="1"/>
  <c r="C68" i="1" s="1"/>
  <c r="C71" i="1" a="1"/>
  <c r="C71" i="1" s="1"/>
  <c r="C75" i="1" a="1"/>
  <c r="C75" i="1" s="1"/>
  <c r="C78" i="1" a="1"/>
  <c r="C78" i="1" s="1"/>
  <c r="C82" i="1" a="1"/>
  <c r="C82" i="1" s="1"/>
  <c r="C89" i="1" a="1"/>
  <c r="C89" i="1" s="1"/>
  <c r="C93" i="1" a="1"/>
  <c r="C93" i="1" s="1"/>
  <c r="C96" i="1" a="1"/>
  <c r="C96" i="1" s="1"/>
  <c r="C100" i="1" a="1"/>
  <c r="C100" i="1" s="1"/>
  <c r="C103" i="1" a="1"/>
  <c r="C103" i="1" s="1"/>
  <c r="C107" i="1" a="1"/>
  <c r="C107" i="1" s="1"/>
  <c r="C26" i="1" a="1"/>
  <c r="C26" i="1" s="1"/>
  <c r="C33" i="1" a="1"/>
  <c r="C33" i="1" s="1"/>
  <c r="C37" i="1" a="1"/>
  <c r="C37" i="1" s="1"/>
  <c r="C40" i="1" a="1"/>
  <c r="C40" i="1" s="1"/>
  <c r="C44" i="1" a="1"/>
  <c r="C44" i="1" s="1"/>
  <c r="C47" i="1" a="1"/>
  <c r="C47" i="1" s="1"/>
  <c r="C51" i="1" a="1"/>
  <c r="C51" i="1" s="1"/>
  <c r="C54" i="1" a="1"/>
  <c r="C54" i="1" s="1"/>
  <c r="C58" i="1" a="1"/>
  <c r="C58" i="1" s="1"/>
  <c r="C65" i="1" a="1"/>
  <c r="C65" i="1" s="1"/>
  <c r="C69" i="1" a="1"/>
  <c r="C69" i="1" s="1"/>
  <c r="C72" i="1" a="1"/>
  <c r="C72" i="1" s="1"/>
  <c r="C76" i="1" a="1"/>
  <c r="C76" i="1" s="1"/>
  <c r="C79" i="1" a="1"/>
  <c r="C79" i="1" s="1"/>
  <c r="C83" i="1" a="1"/>
  <c r="C83" i="1" s="1"/>
  <c r="C86" i="1" a="1"/>
  <c r="C86" i="1" s="1"/>
  <c r="C90" i="1" a="1"/>
  <c r="C90" i="1" s="1"/>
  <c r="C97" i="1" a="1"/>
  <c r="C97" i="1" s="1"/>
  <c r="C101" i="1" a="1"/>
  <c r="C101" i="1" s="1"/>
  <c r="C104" i="1" a="1"/>
  <c r="C104" i="1" s="1"/>
  <c r="C108" i="1" a="1"/>
  <c r="C108" i="1" s="1"/>
  <c r="C109" i="1" a="1"/>
  <c r="C109" i="1" s="1"/>
  <c r="AA8" i="3"/>
  <c r="AA1" i="3"/>
  <c r="Z1" i="3"/>
  <c r="C18" i="1" s="1" a="1"/>
  <c r="C18" i="1" s="1"/>
  <c r="AA3" i="3"/>
  <c r="C21" i="1" s="1" a="1"/>
  <c r="C21" i="1" s="1"/>
  <c r="AA6" i="3"/>
  <c r="AA7" i="3"/>
  <c r="AA4" i="3"/>
  <c r="AA2" i="3"/>
  <c r="AA5" i="3"/>
  <c r="Z8" i="3"/>
  <c r="Z7" i="3"/>
  <c r="Z6" i="3"/>
  <c r="Z5" i="3"/>
  <c r="C10" i="1" s="1" a="1"/>
  <c r="C10" i="1" s="1"/>
  <c r="Z4" i="3"/>
  <c r="C20" i="1" s="1" a="1"/>
  <c r="C20" i="1" s="1"/>
  <c r="Z3" i="3"/>
  <c r="Z2" i="3"/>
  <c r="C9" i="1" l="1" a="1"/>
  <c r="C9" i="1" s="1"/>
  <c r="C17" i="1" a="1"/>
  <c r="C17" i="1" s="1"/>
  <c r="C12" i="1" a="1"/>
  <c r="C12" i="1" s="1"/>
  <c r="C16" i="1" a="1"/>
  <c r="C16" i="1" s="1"/>
  <c r="C14" i="1" a="1"/>
  <c r="C14" i="1" s="1"/>
  <c r="C11" i="1" a="1"/>
  <c r="C11" i="1" s="1"/>
  <c r="C15" i="1" a="1"/>
  <c r="C15" i="1" s="1"/>
  <c r="C19" i="1" a="1"/>
  <c r="C19" i="1" s="1"/>
  <c r="C6" i="1" a="1"/>
  <c r="C6" i="1" s="1"/>
  <c r="C13" i="1" a="1"/>
  <c r="C13" i="1" s="1"/>
  <c r="C8" i="1" a="1"/>
  <c r="C8" i="1" s="1"/>
  <c r="C7" i="1" a="1"/>
  <c r="C7" i="1" s="1"/>
  <c r="C5" i="1" a="1"/>
  <c r="C5" i="1" s="1"/>
  <c r="C4" i="1" a="1"/>
  <c r="C4" i="1" s="1"/>
  <c r="C2" i="1" a="1"/>
  <c r="C2" i="1" s="1"/>
  <c r="C3" i="1" a="1"/>
  <c r="C3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9F1DCE-E0CB-4E05-A09E-1E16F37C6DDB}" sourceFile="C:\preparatory\prep.mdb" odcFile="C:\Users\Deel\Documents\My Data Sources\prep details.od.odc" keepAlive="1" interval="10" name="prep details.od" type="5" refreshedVersion="8" background="1" refreshOnLoad="1" saveData="1">
    <dbPr connection="Provider=Microsoft.ACE.OLEDB.12.0;User ID=Admin;Data Source=C:\preparatory\prep.mdb;Mode=ReadWrite;Extended Properties=&quot;&quot;;Jet OLEDB:System database=&quot;&quot;;Jet OLEDB:Registry Path=&quot;&quot;;Jet OLEDB:Engine Type=5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details" commandType="3"/>
  </connection>
  <connection id="2" xr16:uid="{3F1F0203-80DA-47A3-8B0C-F1DFB6B148AB}" keepAlive="1" interval="10" name="Query - attendance (3)" description="Connection to the 'attendance (3)' query in the workbook." type="5" refreshedVersion="8" background="1" refreshOnLoad="1" saveData="1">
    <dbPr connection="Provider=Microsoft.Mashup.OleDb.1;Data Source=$Workbook$;Location=&quot;attendance (3)&quot;;Extended Properties=&quot;&quot;" command="SELECT * FROM [attendance (3)]"/>
  </connection>
  <connection id="3" xr16:uid="{8275F15A-E272-4746-B2CB-5EDA0C2152BF}" keepAlive="1" interval="10" name="Query - Exception Stat#" description="Connection to the 'Exception Stat#' query in the workbook." type="5" refreshedVersion="8" background="1" refreshOnLoad="1" saveData="1">
    <dbPr connection="Provider=Microsoft.Mashup.OleDb.1;Data Source=$Workbook$;Location=&quot;Exception Stat#&quot;;Extended Properties=&quot;&quot;" command="SELECT * FROM [Exception Stat#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<sst xmlns="http://schemas.openxmlformats.org/spreadsheetml/2006/main" count="7824" uniqueCount="1804">
  <si>
    <t>Column2</t>
  </si>
  <si>
    <t>ID</t>
  </si>
  <si>
    <t>Class</t>
  </si>
  <si>
    <t>ID start</t>
  </si>
  <si>
    <t>القديس متى الرسول</t>
  </si>
  <si>
    <t>القديس مرقس الرسول</t>
  </si>
  <si>
    <t>القديس لوقا الرسول</t>
  </si>
  <si>
    <t>القديس يوحنا الرسول</t>
  </si>
  <si>
    <t>القديس متياس الرسول</t>
  </si>
  <si>
    <t>القديس بطرس الرسول</t>
  </si>
  <si>
    <t>القديس توما الرسول</t>
  </si>
  <si>
    <t>القديس بولس الرسول</t>
  </si>
  <si>
    <t>fname</t>
  </si>
  <si>
    <t>stage</t>
  </si>
  <si>
    <t>bdate</t>
  </si>
  <si>
    <t>class_name</t>
  </si>
  <si>
    <t>school_job</t>
  </si>
  <si>
    <t>deacon</t>
  </si>
  <si>
    <t>tel1</t>
  </si>
  <si>
    <t>tel2</t>
  </si>
  <si>
    <t>tel3</t>
  </si>
  <si>
    <t>tel4</t>
  </si>
  <si>
    <t>con_father</t>
  </si>
  <si>
    <t>address1</t>
  </si>
  <si>
    <t>address2</t>
  </si>
  <si>
    <t>address3</t>
  </si>
  <si>
    <t>address4</t>
  </si>
  <si>
    <t>address5</t>
  </si>
  <si>
    <t>address6</t>
  </si>
  <si>
    <t>address7</t>
  </si>
  <si>
    <t>God_brothers</t>
  </si>
  <si>
    <t>notes</t>
  </si>
  <si>
    <t>كيرلس مدحت سمير</t>
  </si>
  <si>
    <t>ثالثة</t>
  </si>
  <si>
    <t>الخدام</t>
  </si>
  <si>
    <t>دار السعادة الرسمية لغات</t>
  </si>
  <si>
    <t>نعم</t>
  </si>
  <si>
    <t/>
  </si>
  <si>
    <t>01279701728</t>
  </si>
  <si>
    <t>01223417085</t>
  </si>
  <si>
    <t>01286307182</t>
  </si>
  <si>
    <t>ابونا انطونيوس</t>
  </si>
  <si>
    <t>7</t>
  </si>
  <si>
    <t>اسماعيل مصطفى</t>
  </si>
  <si>
    <t>دار السعادة</t>
  </si>
  <si>
    <t>2</t>
  </si>
  <si>
    <t>5</t>
  </si>
  <si>
    <t>الزيتون</t>
  </si>
  <si>
    <t>لا</t>
  </si>
  <si>
    <t>ابرام ريمون عربي زهري</t>
  </si>
  <si>
    <t>01282786336</t>
  </si>
  <si>
    <t>10</t>
  </si>
  <si>
    <t>المسيري</t>
  </si>
  <si>
    <t>ابرام ممدوح سمير</t>
  </si>
  <si>
    <t>01223162120</t>
  </si>
  <si>
    <t>6</t>
  </si>
  <si>
    <t>شلهوب</t>
  </si>
  <si>
    <t>ارساني عماد وليم</t>
  </si>
  <si>
    <t>سانت ماري</t>
  </si>
  <si>
    <t>01205074333</t>
  </si>
  <si>
    <t>01221205788</t>
  </si>
  <si>
    <t>ابونا كيرلس</t>
  </si>
  <si>
    <t>3</t>
  </si>
  <si>
    <t>قناوي</t>
  </si>
  <si>
    <t>الاصبغ</t>
  </si>
  <si>
    <t>11</t>
  </si>
  <si>
    <t>الجزائر</t>
  </si>
  <si>
    <t>01206788254</t>
  </si>
  <si>
    <t>01273995347</t>
  </si>
  <si>
    <t>15</t>
  </si>
  <si>
    <t>العزب</t>
  </si>
  <si>
    <t>ميدان ابن الحكم</t>
  </si>
  <si>
    <t>4</t>
  </si>
  <si>
    <t>صيدلية ايمن يونس</t>
  </si>
  <si>
    <t>بافلي جورج منير</t>
  </si>
  <si>
    <t>01223775717</t>
  </si>
  <si>
    <t>اسعد</t>
  </si>
  <si>
    <t>بافلي سامر سمير</t>
  </si>
  <si>
    <t>جيل حورس</t>
  </si>
  <si>
    <t>01221876205</t>
  </si>
  <si>
    <t>01228234164</t>
  </si>
  <si>
    <t>36</t>
  </si>
  <si>
    <t>محطة الزيتون</t>
  </si>
  <si>
    <t>21</t>
  </si>
  <si>
    <t>البوستة</t>
  </si>
  <si>
    <t>بولا بيشوي جمال</t>
  </si>
  <si>
    <t>المعارف الحديثة</t>
  </si>
  <si>
    <t>01221012226</t>
  </si>
  <si>
    <t>01200909019</t>
  </si>
  <si>
    <t>01208182527</t>
  </si>
  <si>
    <t>ابونا شنوده</t>
  </si>
  <si>
    <t>31</t>
  </si>
  <si>
    <t>توفيق طامبا</t>
  </si>
  <si>
    <t>1</t>
  </si>
  <si>
    <t>سنتر السلام</t>
  </si>
  <si>
    <t>بولا عادل انور</t>
  </si>
  <si>
    <t>01270124188</t>
  </si>
  <si>
    <t>مدرسة الحياة الحر</t>
  </si>
  <si>
    <t>عزبه النخل</t>
  </si>
  <si>
    <t>بولا هاني رزق</t>
  </si>
  <si>
    <t>01277760506</t>
  </si>
  <si>
    <t>محمد سامب</t>
  </si>
  <si>
    <t>المرج الجديدة</t>
  </si>
  <si>
    <t>بيتر باسم قديس</t>
  </si>
  <si>
    <t>01276374492</t>
  </si>
  <si>
    <t>57</t>
  </si>
  <si>
    <t>سليم</t>
  </si>
  <si>
    <t>بيتر هاني جرجس</t>
  </si>
  <si>
    <t>01224718945</t>
  </si>
  <si>
    <t>6ب</t>
  </si>
  <si>
    <t>سنان</t>
  </si>
  <si>
    <t>حضانة anna</t>
  </si>
  <si>
    <t>01203465535</t>
  </si>
  <si>
    <t>42</t>
  </si>
  <si>
    <t>العزيز بالله</t>
  </si>
  <si>
    <t>توماس ايهاب سمير شحاته</t>
  </si>
  <si>
    <t>01274318936</t>
  </si>
  <si>
    <t>01221004407</t>
  </si>
  <si>
    <t>0120873740</t>
  </si>
  <si>
    <t>14</t>
  </si>
  <si>
    <t>ماركت العجايبي</t>
  </si>
  <si>
    <t>01227401470</t>
  </si>
  <si>
    <t>27</t>
  </si>
  <si>
    <t>نصوح</t>
  </si>
  <si>
    <t>طومانباي</t>
  </si>
  <si>
    <t>26</t>
  </si>
  <si>
    <t>مول الملكه</t>
  </si>
  <si>
    <t>01140181420</t>
  </si>
  <si>
    <t>ديفيد لطفي تادرس</t>
  </si>
  <si>
    <t>01228125768</t>
  </si>
  <si>
    <t>ماهر</t>
  </si>
  <si>
    <t>صيدلية ريمون</t>
  </si>
  <si>
    <t>ريمون شفيق سمير</t>
  </si>
  <si>
    <t>الجامعة الاسلامية</t>
  </si>
  <si>
    <t>01227510408</t>
  </si>
  <si>
    <t>01276777697</t>
  </si>
  <si>
    <t>ابونا جرجس</t>
  </si>
  <si>
    <t>المهدي</t>
  </si>
  <si>
    <t>جراج ام النور بجوار الكنيسه</t>
  </si>
  <si>
    <t>01005658449</t>
  </si>
  <si>
    <t>عوض فهمي</t>
  </si>
  <si>
    <t>كارلوس شنودة تادرس</t>
  </si>
  <si>
    <t>01275878245</t>
  </si>
  <si>
    <t>9</t>
  </si>
  <si>
    <t>بركات</t>
  </si>
  <si>
    <t>مارك روماني القمص دوماديوس</t>
  </si>
  <si>
    <t>01279040062</t>
  </si>
  <si>
    <t>25</t>
  </si>
  <si>
    <t>سوبر ماركت المريمات</t>
  </si>
  <si>
    <t>مارك وجدي فكري</t>
  </si>
  <si>
    <t>01288541438</t>
  </si>
  <si>
    <t>01227436963</t>
  </si>
  <si>
    <t>01288611703</t>
  </si>
  <si>
    <t>ابونا ارسانيوس</t>
  </si>
  <si>
    <t>51 مكرر</t>
  </si>
  <si>
    <t>صيدله هانى وجراج العيسوى</t>
  </si>
  <si>
    <t>ماريو مجدي مكرم</t>
  </si>
  <si>
    <t>01003511581</t>
  </si>
  <si>
    <t>54</t>
  </si>
  <si>
    <t>السكة الحديد</t>
  </si>
  <si>
    <t>حدائق القبة</t>
  </si>
  <si>
    <t>مقار روماني رسلة</t>
  </si>
  <si>
    <t>01020266699</t>
  </si>
  <si>
    <t>81</t>
  </si>
  <si>
    <t>محل الملكه</t>
  </si>
  <si>
    <t>ميخائيل جرجس محروس</t>
  </si>
  <si>
    <t>المعارف</t>
  </si>
  <si>
    <t>01212979825</t>
  </si>
  <si>
    <t>01221086321</t>
  </si>
  <si>
    <t>01221308053</t>
  </si>
  <si>
    <t>57أ</t>
  </si>
  <si>
    <t>محمود سالم</t>
  </si>
  <si>
    <t>حضانة الاقباط</t>
  </si>
  <si>
    <t>مينا عاطف داوود</t>
  </si>
  <si>
    <t>01550290587</t>
  </si>
  <si>
    <t>84</t>
  </si>
  <si>
    <t>جسر السويس</t>
  </si>
  <si>
    <t>أولاد رجب</t>
  </si>
  <si>
    <t>مينا وائل منير</t>
  </si>
  <si>
    <t>01270788486</t>
  </si>
  <si>
    <t>16</t>
  </si>
  <si>
    <t>الشرطة</t>
  </si>
  <si>
    <t>يوليوس بطرس تادرس</t>
  </si>
  <si>
    <t>01001132168</t>
  </si>
  <si>
    <t>احمد عبد الحميد</t>
  </si>
  <si>
    <t>النعام</t>
  </si>
  <si>
    <t xml:space="preserve">ابرام جرجس سعيد </t>
  </si>
  <si>
    <t>01278726129</t>
  </si>
  <si>
    <t>01278726932</t>
  </si>
  <si>
    <t>01273236366</t>
  </si>
  <si>
    <t>ابونا ميخائيل</t>
  </si>
  <si>
    <t>حارة قناوي</t>
  </si>
  <si>
    <t>امير عادل جرجس حنا</t>
  </si>
  <si>
    <t>01221774554</t>
  </si>
  <si>
    <t>ابراج العز مبنى أ</t>
  </si>
  <si>
    <t>باتريك اشرف</t>
  </si>
  <si>
    <t>01289593477</t>
  </si>
  <si>
    <t xml:space="preserve">ابانوب عماد جابر </t>
  </si>
  <si>
    <t>01274179810</t>
  </si>
  <si>
    <t xml:space="preserve">ابرام ماجد جميل </t>
  </si>
  <si>
    <t>01150266089</t>
  </si>
  <si>
    <t>38</t>
  </si>
  <si>
    <t>مصطفى باشا</t>
  </si>
  <si>
    <t>امين هندية</t>
  </si>
  <si>
    <t>0</t>
  </si>
  <si>
    <t xml:space="preserve">ابرام ممدوح كميل </t>
  </si>
  <si>
    <t>01276736474</t>
  </si>
  <si>
    <t>برج زهرة</t>
  </si>
  <si>
    <t xml:space="preserve">اشرف شنودة عاطف </t>
  </si>
  <si>
    <t>01289003249</t>
  </si>
  <si>
    <t>19</t>
  </si>
  <si>
    <t>امير وحيد زكي</t>
  </si>
  <si>
    <t>01554365140</t>
  </si>
  <si>
    <t>25أ</t>
  </si>
  <si>
    <t>01282838024</t>
  </si>
  <si>
    <t>محطة المترو</t>
  </si>
  <si>
    <t>بافلي كمال رزق الله</t>
  </si>
  <si>
    <t>01275405057</t>
  </si>
  <si>
    <t>01270763403</t>
  </si>
  <si>
    <t>01285335853</t>
  </si>
  <si>
    <t>113</t>
  </si>
  <si>
    <t>32</t>
  </si>
  <si>
    <t>محل الراعي الصالح</t>
  </si>
  <si>
    <t xml:space="preserve">بولا زاخر جرجس </t>
  </si>
  <si>
    <t>صحارا</t>
  </si>
  <si>
    <t>01229797028</t>
  </si>
  <si>
    <t>01551003080</t>
  </si>
  <si>
    <t>01551113081</t>
  </si>
  <si>
    <t>شارع المحطة</t>
  </si>
  <si>
    <t>بولا ملاك لمعي</t>
  </si>
  <si>
    <t>0226321272</t>
  </si>
  <si>
    <t>01226310945</t>
  </si>
  <si>
    <t>01285784126</t>
  </si>
  <si>
    <t>احمد حسن</t>
  </si>
  <si>
    <t>رشدي</t>
  </si>
  <si>
    <t>13</t>
  </si>
  <si>
    <t xml:space="preserve">بيتر ماهر تادرس </t>
  </si>
  <si>
    <t>01111867298</t>
  </si>
  <si>
    <t>ابونا يوسف</t>
  </si>
  <si>
    <t>12</t>
  </si>
  <si>
    <t>ابو السنون</t>
  </si>
  <si>
    <t>ناشد منصور</t>
  </si>
  <si>
    <t>الليث</t>
  </si>
  <si>
    <t xml:space="preserve">توفيلس يوسف القس </t>
  </si>
  <si>
    <t>01507624174</t>
  </si>
  <si>
    <t>01224302425</t>
  </si>
  <si>
    <t>27أ</t>
  </si>
  <si>
    <t>52</t>
  </si>
  <si>
    <t>حضانة اقباط الزيتون</t>
  </si>
  <si>
    <t>01201022251</t>
  </si>
  <si>
    <t>سعيد</t>
  </si>
  <si>
    <t>18</t>
  </si>
  <si>
    <t>كبابجي الامانة</t>
  </si>
  <si>
    <t>جون اسحق سمير</t>
  </si>
  <si>
    <t>الجمعية الاسلامية</t>
  </si>
  <si>
    <t>01227064840</t>
  </si>
  <si>
    <t>01211333444</t>
  </si>
  <si>
    <t>01211313190</t>
  </si>
  <si>
    <t>فرج ابراهيم</t>
  </si>
  <si>
    <t xml:space="preserve">ساهر عزيز الفونس </t>
  </si>
  <si>
    <t>01223288576</t>
  </si>
  <si>
    <t>٣ ش سليمان أباظة متفرع من طومانباى</t>
  </si>
  <si>
    <t>بافلي عماد لمعي توماس</t>
  </si>
  <si>
    <t>فيوتشر</t>
  </si>
  <si>
    <t>01555469951</t>
  </si>
  <si>
    <t>01555698396</t>
  </si>
  <si>
    <t>بجوار الاسانسير</t>
  </si>
  <si>
    <t>سنتر جوزيف</t>
  </si>
  <si>
    <t xml:space="preserve">ابرام جرجس تادرس </t>
  </si>
  <si>
    <t>01201516947</t>
  </si>
  <si>
    <t>منطقة المرج</t>
  </si>
  <si>
    <t xml:space="preserve">بولا هاني جرجس </t>
  </si>
  <si>
    <t>01024493862</t>
  </si>
  <si>
    <t>01552448949</t>
  </si>
  <si>
    <t>كوبري سنان</t>
  </si>
  <si>
    <t xml:space="preserve">بيتر روماني اندراوس </t>
  </si>
  <si>
    <t>01005223667</t>
  </si>
  <si>
    <t>22</t>
  </si>
  <si>
    <t>8</t>
  </si>
  <si>
    <t xml:space="preserve">بيشوي مجدي ثابت </t>
  </si>
  <si>
    <t>01229814647</t>
  </si>
  <si>
    <t>43</t>
  </si>
  <si>
    <t xml:space="preserve">بيشوي ميلاد نبيه </t>
  </si>
  <si>
    <t>01111011312</t>
  </si>
  <si>
    <t>توماس ايهاب سمير سامي</t>
  </si>
  <si>
    <t>المعارف الجديدة</t>
  </si>
  <si>
    <t>01018874696</t>
  </si>
  <si>
    <t>01090009004</t>
  </si>
  <si>
    <t>6أ</t>
  </si>
  <si>
    <t>شمال الاسانسير</t>
  </si>
  <si>
    <t>مدرسة المعارف</t>
  </si>
  <si>
    <t xml:space="preserve">جاستن محب يوسف </t>
  </si>
  <si>
    <t>01273051211</t>
  </si>
  <si>
    <t>47</t>
  </si>
  <si>
    <t>صيدليه العشرى</t>
  </si>
  <si>
    <t>جون سوريال</t>
  </si>
  <si>
    <t>01225436243</t>
  </si>
  <si>
    <t>جمعية نسائم المحبة</t>
  </si>
  <si>
    <t>01211124980</t>
  </si>
  <si>
    <t>ثابت توفيق</t>
  </si>
  <si>
    <t xml:space="preserve">دانيال ماجد جورج </t>
  </si>
  <si>
    <t>01223820472</t>
  </si>
  <si>
    <t>110</t>
  </si>
  <si>
    <t xml:space="preserve">ديفيد جمال موريس ‏ </t>
  </si>
  <si>
    <t>01224612427</t>
  </si>
  <si>
    <t>412أ</t>
  </si>
  <si>
    <t>8 امام الاسانسير</t>
  </si>
  <si>
    <t>برج الهدى بجوار شركه الغاز</t>
  </si>
  <si>
    <t>01223863646</t>
  </si>
  <si>
    <t>3أ</t>
  </si>
  <si>
    <t>كليه الالسن القديمه</t>
  </si>
  <si>
    <t>ديفيد هاني سمير</t>
  </si>
  <si>
    <t>مارمرقس</t>
  </si>
  <si>
    <t>01559468677</t>
  </si>
  <si>
    <t>01553071587</t>
  </si>
  <si>
    <t>01558168677</t>
  </si>
  <si>
    <t>كمال الصغير</t>
  </si>
  <si>
    <t>ارض عيشة</t>
  </si>
  <si>
    <t>الخصوص</t>
  </si>
  <si>
    <t xml:space="preserve">سامر عادل صموئيل </t>
  </si>
  <si>
    <t>01223422767</t>
  </si>
  <si>
    <t>32-24</t>
  </si>
  <si>
    <t xml:space="preserve">صرابامون جرجس صلاح </t>
  </si>
  <si>
    <t>01225544627</t>
  </si>
  <si>
    <t>سلطان</t>
  </si>
  <si>
    <t>سوبر ماركت ابو سحر</t>
  </si>
  <si>
    <t xml:space="preserve">فارس ميلاد ساروفيم </t>
  </si>
  <si>
    <t>01280738045</t>
  </si>
  <si>
    <t>حليم واصف</t>
  </si>
  <si>
    <t>اول برج بعد الفيلا شمال الجنب الشمال</t>
  </si>
  <si>
    <t>مدرن سكول الحلمية</t>
  </si>
  <si>
    <t>01224629108</t>
  </si>
  <si>
    <t>01226382588</t>
  </si>
  <si>
    <t>01225468664</t>
  </si>
  <si>
    <t>امين شوقي</t>
  </si>
  <si>
    <t>متحف المطرية</t>
  </si>
  <si>
    <t>عين شمس</t>
  </si>
  <si>
    <t>زلط للاحذيه</t>
  </si>
  <si>
    <t xml:space="preserve">فيلوباتير سامح خليل </t>
  </si>
  <si>
    <t>01227978343</t>
  </si>
  <si>
    <t>53</t>
  </si>
  <si>
    <t>القدس</t>
  </si>
  <si>
    <t>محل الثورة</t>
  </si>
  <si>
    <t xml:space="preserve">فيلوباتير نبيل مهاود </t>
  </si>
  <si>
    <t>01202844565</t>
  </si>
  <si>
    <t>عثمان</t>
  </si>
  <si>
    <t>فيلوباتير يسري فضلي</t>
  </si>
  <si>
    <t>01277130803</t>
  </si>
  <si>
    <t>01224469115</t>
  </si>
  <si>
    <t>01220323710</t>
  </si>
  <si>
    <t>سوبر ماركت بيم</t>
  </si>
  <si>
    <t>01221843084</t>
  </si>
  <si>
    <t>برج الملكه والامير</t>
  </si>
  <si>
    <t xml:space="preserve">كيرلس ماجد حلمي </t>
  </si>
  <si>
    <t>الطبري روكسي</t>
  </si>
  <si>
    <t>01558400611</t>
  </si>
  <si>
    <t>01287635634</t>
  </si>
  <si>
    <t>01277763785</t>
  </si>
  <si>
    <t>33</t>
  </si>
  <si>
    <t>عسكر</t>
  </si>
  <si>
    <t xml:space="preserve">كيرلس مجدي سمير </t>
  </si>
  <si>
    <t>01205638646</t>
  </si>
  <si>
    <t>28</t>
  </si>
  <si>
    <t>جراج 25 يناير</t>
  </si>
  <si>
    <t>01223376792</t>
  </si>
  <si>
    <t xml:space="preserve">ماثيو ماريو الفي </t>
  </si>
  <si>
    <t>01022990540</t>
  </si>
  <si>
    <t>حارة طومانباي</t>
  </si>
  <si>
    <t>مبنى الضرائب</t>
  </si>
  <si>
    <t xml:space="preserve">مارتيروس مدحت مختار </t>
  </si>
  <si>
    <t>01227670850</t>
  </si>
  <si>
    <t>سوبر ماركت العجايبي</t>
  </si>
  <si>
    <t xml:space="preserve">مارسيلينو يونان عبد المسيح </t>
  </si>
  <si>
    <t>01229377461</t>
  </si>
  <si>
    <t>البشرى</t>
  </si>
  <si>
    <t xml:space="preserve">ماركو اشرف ابراهيم </t>
  </si>
  <si>
    <t>01226259963</t>
  </si>
  <si>
    <t>دأ</t>
  </si>
  <si>
    <t>ابراهيم الزناتي</t>
  </si>
  <si>
    <t>17</t>
  </si>
  <si>
    <t>مكتب شمس</t>
  </si>
  <si>
    <t xml:space="preserve">ماهر روماني ماهر </t>
  </si>
  <si>
    <t>01224142237</t>
  </si>
  <si>
    <t>129</t>
  </si>
  <si>
    <t>خالد بن الوليد</t>
  </si>
  <si>
    <t>مصطفى حافظ</t>
  </si>
  <si>
    <t>حلوانى قصر الشوق</t>
  </si>
  <si>
    <t>01201273899</t>
  </si>
  <si>
    <t>طومانباي سنان</t>
  </si>
  <si>
    <t>اخر شقة بجوار الاسانسير</t>
  </si>
  <si>
    <t xml:space="preserve">سنتر سان جوزيف </t>
  </si>
  <si>
    <t xml:space="preserve">يوسف عادل حليم </t>
  </si>
  <si>
    <t>الادفنتست</t>
  </si>
  <si>
    <t>0226331112</t>
  </si>
  <si>
    <t>01277929717</t>
  </si>
  <si>
    <t>01207141225</t>
  </si>
  <si>
    <t>01211146204</t>
  </si>
  <si>
    <t>الخربطلي</t>
  </si>
  <si>
    <t>شمال السلم</t>
  </si>
  <si>
    <t xml:space="preserve">يوسف فيكتور نبيل </t>
  </si>
  <si>
    <t>01281720955</t>
  </si>
  <si>
    <t>محمد شكري</t>
  </si>
  <si>
    <t xml:space="preserve">سمير سامح سمير </t>
  </si>
  <si>
    <t>01211265255</t>
  </si>
  <si>
    <t>01065522397</t>
  </si>
  <si>
    <t>01220695474</t>
  </si>
  <si>
    <t>الجوهري</t>
  </si>
  <si>
    <t>السجل المدني</t>
  </si>
  <si>
    <t xml:space="preserve">فيلوباتير جورج صمؤيل </t>
  </si>
  <si>
    <t>01229252995</t>
  </si>
  <si>
    <t>محمد حنفي</t>
  </si>
  <si>
    <t>كيرلس هاني فوزي</t>
  </si>
  <si>
    <t>01212318363</t>
  </si>
  <si>
    <t>01228422846</t>
  </si>
  <si>
    <t>حارة مدرسة دار السعادة</t>
  </si>
  <si>
    <t>مدرسة دار السعادة</t>
  </si>
  <si>
    <t>اندرو مخلص بطرس</t>
  </si>
  <si>
    <t>الزيتون الاعدادية</t>
  </si>
  <si>
    <t>01227247028</t>
  </si>
  <si>
    <t>ابونا موسى</t>
  </si>
  <si>
    <t>18ب</t>
  </si>
  <si>
    <t>زاوية الصفواني</t>
  </si>
  <si>
    <t>بيشوي عماد نجيب</t>
  </si>
  <si>
    <t>01282410449</t>
  </si>
  <si>
    <t>01277112767</t>
  </si>
  <si>
    <t>01274665724</t>
  </si>
  <si>
    <t>ميخائيل القس اسحق قسطور</t>
  </si>
  <si>
    <t>سان جون الامريكية</t>
  </si>
  <si>
    <t>01212232756</t>
  </si>
  <si>
    <t>116</t>
  </si>
  <si>
    <t>قدام الاسانسير</t>
  </si>
  <si>
    <t>فول ماروسكا</t>
  </si>
  <si>
    <t>مينا عماد صموئيل</t>
  </si>
  <si>
    <t>01150374850</t>
  </si>
  <si>
    <t>21/25</t>
  </si>
  <si>
    <t>سعد زغلول</t>
  </si>
  <si>
    <t>يوسف سامح جميل</t>
  </si>
  <si>
    <t>01227728588</t>
  </si>
  <si>
    <t>صيدلية الليث</t>
  </si>
  <si>
    <t>مينا عماد عدلي</t>
  </si>
  <si>
    <t>دي لا سال</t>
  </si>
  <si>
    <t>01207833592</t>
  </si>
  <si>
    <t>01223507354</t>
  </si>
  <si>
    <t>01228047794</t>
  </si>
  <si>
    <t>ابونا يوحنا</t>
  </si>
  <si>
    <t>برج ج</t>
  </si>
  <si>
    <t>البان سويسرا</t>
  </si>
  <si>
    <t>ابانوب هاني محروس</t>
  </si>
  <si>
    <t>بي كرنك</t>
  </si>
  <si>
    <t>01557071113</t>
  </si>
  <si>
    <t>01201047270</t>
  </si>
  <si>
    <t>دراي كلين السلام</t>
  </si>
  <si>
    <t>ابانوب منسي جون</t>
  </si>
  <si>
    <t>01001306133</t>
  </si>
  <si>
    <t>52ب</t>
  </si>
  <si>
    <t>الاخير</t>
  </si>
  <si>
    <t>برازليانو</t>
  </si>
  <si>
    <t>مينا ماجد ايوب</t>
  </si>
  <si>
    <t>01227857208</t>
  </si>
  <si>
    <t>ابونا شنوده (عزبة النخل)</t>
  </si>
  <si>
    <t>49</t>
  </si>
  <si>
    <t>سليم الاول</t>
  </si>
  <si>
    <t>البنك الاهلي</t>
  </si>
  <si>
    <t>بيشوي مجدي مكرم</t>
  </si>
  <si>
    <t>022248162</t>
  </si>
  <si>
    <t>01275659993</t>
  </si>
  <si>
    <t>01276667132</t>
  </si>
  <si>
    <t>01096280273</t>
  </si>
  <si>
    <t>ابونا متى (مارمرقس كليوبترا)</t>
  </si>
  <si>
    <t>حبيب يعقوب</t>
  </si>
  <si>
    <t>صيدلية المحبة</t>
  </si>
  <si>
    <t>يوسف نشات رزق الله</t>
  </si>
  <si>
    <t>01273032210</t>
  </si>
  <si>
    <t>0122450011</t>
  </si>
  <si>
    <t>جمال</t>
  </si>
  <si>
    <t xml:space="preserve">يمين سلم </t>
  </si>
  <si>
    <t>جمعية النيل</t>
  </si>
  <si>
    <t>ستيفن اشرف عزيز</t>
  </si>
  <si>
    <t>01278032404</t>
  </si>
  <si>
    <t>محمود يحيى</t>
  </si>
  <si>
    <t>جامع الانصار</t>
  </si>
  <si>
    <t xml:space="preserve">فيلوباتير ميلاد جورج </t>
  </si>
  <si>
    <t>01211289654</t>
  </si>
  <si>
    <t>01276054183</t>
  </si>
  <si>
    <t>حارة مبروك</t>
  </si>
  <si>
    <t>مدرسة نوتردام</t>
  </si>
  <si>
    <t>كيرلس جرجس عيسى</t>
  </si>
  <si>
    <t>0224530083</t>
  </si>
  <si>
    <t>01128660343</t>
  </si>
  <si>
    <t>فريد عبدالله</t>
  </si>
  <si>
    <t xml:space="preserve">ماثيو نادر جلال </t>
  </si>
  <si>
    <t>01211899216</t>
  </si>
  <si>
    <t>24</t>
  </si>
  <si>
    <t>مارك ميلاد فكري</t>
  </si>
  <si>
    <t>01277636880</t>
  </si>
  <si>
    <t xml:space="preserve">ماريو ماجد مهاود </t>
  </si>
  <si>
    <t>المعارف الخاصة</t>
  </si>
  <si>
    <t>01212971164</t>
  </si>
  <si>
    <t>01281487073</t>
  </si>
  <si>
    <t>عمارة كوين للملابس</t>
  </si>
  <si>
    <t xml:space="preserve">يوحنا فايز ادوارد </t>
  </si>
  <si>
    <t>01061112137</t>
  </si>
  <si>
    <t>الكريم</t>
  </si>
  <si>
    <t xml:space="preserve">يوسف نبيل سمير </t>
  </si>
  <si>
    <t>01024293898</t>
  </si>
  <si>
    <t>01000964373</t>
  </si>
  <si>
    <t>زغلول</t>
  </si>
  <si>
    <t>سنترال</t>
  </si>
  <si>
    <t>اسامه رضا باسيلي</t>
  </si>
  <si>
    <t>0129293072</t>
  </si>
  <si>
    <t>البرت</t>
  </si>
  <si>
    <t>الارضي</t>
  </si>
  <si>
    <t>ريمون حلمي رضا</t>
  </si>
  <si>
    <t>0226270610</t>
  </si>
  <si>
    <t>01006642522</t>
  </si>
  <si>
    <t>الدكتور حلمي الجوهري</t>
  </si>
  <si>
    <t>بيتر ماهر عبد الملاك</t>
  </si>
  <si>
    <t>01227009313</t>
  </si>
  <si>
    <t>سليم غطاس</t>
  </si>
  <si>
    <t>مارين ماجد عادل قدسي</t>
  </si>
  <si>
    <t>01283248048</t>
  </si>
  <si>
    <t>دار ايتام</t>
  </si>
  <si>
    <t>شنوده حربي نسان حبيب</t>
  </si>
  <si>
    <t>01228052058</t>
  </si>
  <si>
    <t>30</t>
  </si>
  <si>
    <t>ففصل بولس الرسول كمان</t>
  </si>
  <si>
    <t>رامي منير ميخائيل</t>
  </si>
  <si>
    <t>22595777</t>
  </si>
  <si>
    <t>01224019907</t>
  </si>
  <si>
    <t>100</t>
  </si>
  <si>
    <t>ورشة سيارات احمد نور</t>
  </si>
  <si>
    <t>مينا اسعد نصيف</t>
  </si>
  <si>
    <t>01227560555</t>
  </si>
  <si>
    <t>29</t>
  </si>
  <si>
    <t>قصر الطاهرة</t>
  </si>
  <si>
    <t>امير سامي بشاي جرجس</t>
  </si>
  <si>
    <t>01276232850</t>
  </si>
  <si>
    <t>مكوجي</t>
  </si>
  <si>
    <t>مينا حربي</t>
  </si>
  <si>
    <t>01279252793</t>
  </si>
  <si>
    <t>ابونا بطرس</t>
  </si>
  <si>
    <t>بنك ناصر</t>
  </si>
  <si>
    <t>جرجس نصحي حليم</t>
  </si>
  <si>
    <t>024550995</t>
  </si>
  <si>
    <t>01223373457</t>
  </si>
  <si>
    <t>الصديق</t>
  </si>
  <si>
    <t>سوبرماركت المريمات</t>
  </si>
  <si>
    <t>باهر لطفي قلته</t>
  </si>
  <si>
    <t>01220044472</t>
  </si>
  <si>
    <t>وجيه جورج</t>
  </si>
  <si>
    <t>0224511226</t>
  </si>
  <si>
    <t>01287336675</t>
  </si>
  <si>
    <t>20</t>
  </si>
  <si>
    <t>حلواني امريكاني</t>
  </si>
  <si>
    <t>بيشوي سامي</t>
  </si>
  <si>
    <t>01275403197</t>
  </si>
  <si>
    <t>ابونا انجيلوس (الخصوص)</t>
  </si>
  <si>
    <t>احمد عرابي</t>
  </si>
  <si>
    <t>كيرلس مجدي شاكر</t>
  </si>
  <si>
    <t>01150029496</t>
  </si>
  <si>
    <t>قسم الزيتون</t>
  </si>
  <si>
    <t>ديفيد جون داود مساك</t>
  </si>
  <si>
    <t>0222565216</t>
  </si>
  <si>
    <t>01280870992</t>
  </si>
  <si>
    <t>27-48</t>
  </si>
  <si>
    <t>اشرف رافت رفعله</t>
  </si>
  <si>
    <t>01221750035</t>
  </si>
  <si>
    <t>ابونا باسليوس</t>
  </si>
  <si>
    <t>3ب</t>
  </si>
  <si>
    <t>مينا ناجح عزمي</t>
  </si>
  <si>
    <t>01277479835</t>
  </si>
  <si>
    <t>هندي</t>
  </si>
  <si>
    <t>كيرلس ناجي صبحي</t>
  </si>
  <si>
    <t>0224522124</t>
  </si>
  <si>
    <t>01270924883</t>
  </si>
  <si>
    <t>خلف رليه</t>
  </si>
  <si>
    <t>ماهر تادرس نجيب</t>
  </si>
  <si>
    <t>رامي ماهر شاكر</t>
  </si>
  <si>
    <t>26322594</t>
  </si>
  <si>
    <t>01222922494</t>
  </si>
  <si>
    <t>142أ</t>
  </si>
  <si>
    <t>55</t>
  </si>
  <si>
    <t>شركة الغاز</t>
  </si>
  <si>
    <t>مختبر</t>
  </si>
  <si>
    <t>مدرسة</t>
  </si>
  <si>
    <t>02549946</t>
  </si>
  <si>
    <t>01254</t>
  </si>
  <si>
    <t>012698</t>
  </si>
  <si>
    <t>0125447</t>
  </si>
  <si>
    <t>اب الاعتراف</t>
  </si>
  <si>
    <t>شارع</t>
  </si>
  <si>
    <t>متفرع من</t>
  </si>
  <si>
    <t>425</t>
  </si>
  <si>
    <t>اقرب مكان</t>
  </si>
  <si>
    <t>ابانوب مدحت</t>
  </si>
  <si>
    <t>01220607789</t>
  </si>
  <si>
    <t>ابونا بيشوي</t>
  </si>
  <si>
    <t>ميدان العزيز بالله</t>
  </si>
  <si>
    <t>اشرف يوسف حنا</t>
  </si>
  <si>
    <t>01203418820</t>
  </si>
  <si>
    <t>ابونا سطفانوس (كاتدرائية كلوت بيك)</t>
  </si>
  <si>
    <t>اندرو جرجس صبحي</t>
  </si>
  <si>
    <t>0128817401</t>
  </si>
  <si>
    <t>26-28</t>
  </si>
  <si>
    <t>عبدالرحمن نصر</t>
  </si>
  <si>
    <t xml:space="preserve">انطوان سامح فوزي </t>
  </si>
  <si>
    <t>01273440677</t>
  </si>
  <si>
    <t>8 برج الياسمين</t>
  </si>
  <si>
    <t>البوسطة</t>
  </si>
  <si>
    <t xml:space="preserve">ايمن محسن اسحق </t>
  </si>
  <si>
    <t>01286967104</t>
  </si>
  <si>
    <t>عبد المنعم محمد</t>
  </si>
  <si>
    <t xml:space="preserve">باترك سامح تادرس </t>
  </si>
  <si>
    <t>25ج</t>
  </si>
  <si>
    <t>شارع الزيتون</t>
  </si>
  <si>
    <t>شركة المياه</t>
  </si>
  <si>
    <t>باترك تيسير ادوار</t>
  </si>
  <si>
    <t>مصر المستقبل</t>
  </si>
  <si>
    <t>01274566765</t>
  </si>
  <si>
    <t>01226016151</t>
  </si>
  <si>
    <t>01222507532</t>
  </si>
  <si>
    <t>الشيخ خطاب</t>
  </si>
  <si>
    <t>ترعة الجبل</t>
  </si>
  <si>
    <t xml:space="preserve">   7</t>
  </si>
  <si>
    <t>فرجاني الزيتون</t>
  </si>
  <si>
    <t xml:space="preserve">بولا سمير عبدالله </t>
  </si>
  <si>
    <t>0125800059</t>
  </si>
  <si>
    <t>رمضان عبد العاطي</t>
  </si>
  <si>
    <t xml:space="preserve">بولا عادل ابراهيم </t>
  </si>
  <si>
    <t>01271264886</t>
  </si>
  <si>
    <t>110ب</t>
  </si>
  <si>
    <t>بولا عصام عبده كامل</t>
  </si>
  <si>
    <t>0222848916</t>
  </si>
  <si>
    <t>01001037154</t>
  </si>
  <si>
    <t>01006463254</t>
  </si>
  <si>
    <t>010001037154</t>
  </si>
  <si>
    <t>رجب حمدي</t>
  </si>
  <si>
    <t>كنتاكي</t>
  </si>
  <si>
    <t>بيتر فرنسيس منير فرنسيس</t>
  </si>
  <si>
    <t>المعارف الحديثة لغات</t>
  </si>
  <si>
    <t>01281117057</t>
  </si>
  <si>
    <t>01281466784</t>
  </si>
  <si>
    <t>0127313911</t>
  </si>
  <si>
    <t>المتوكل</t>
  </si>
  <si>
    <t>جورج عبد المسيح جاد</t>
  </si>
  <si>
    <t>01279289259</t>
  </si>
  <si>
    <t>ابراهيم عبد الجواد</t>
  </si>
  <si>
    <t>جوزيف امجد كرم جرجس</t>
  </si>
  <si>
    <t>01223457566</t>
  </si>
  <si>
    <t>ابراج ميامي</t>
  </si>
  <si>
    <t xml:space="preserve">جيسون جورج تادروس </t>
  </si>
  <si>
    <t>01278976370</t>
  </si>
  <si>
    <t>جوفاني صفوت رياض بقطر</t>
  </si>
  <si>
    <t>01203006222</t>
  </si>
  <si>
    <t>دانيال بيتر رفعت عوض</t>
  </si>
  <si>
    <t>01285969346</t>
  </si>
  <si>
    <t xml:space="preserve">دانيال خليل ميخائيل </t>
  </si>
  <si>
    <t>01284650869</t>
  </si>
  <si>
    <t>8ب</t>
  </si>
  <si>
    <t>ميدان سراي القبة</t>
  </si>
  <si>
    <t xml:space="preserve">دانيال شنوده تادرس </t>
  </si>
  <si>
    <t>البطريكية</t>
  </si>
  <si>
    <t>01278010517</t>
  </si>
  <si>
    <t>01226117015</t>
  </si>
  <si>
    <t>ابونا مرقس</t>
  </si>
  <si>
    <t>مروان الريحاني</t>
  </si>
  <si>
    <t>405</t>
  </si>
  <si>
    <t>الشروق</t>
  </si>
  <si>
    <t>بجوار شارع الغاز</t>
  </si>
  <si>
    <t>ديفيد اشرف كامل وهبه</t>
  </si>
  <si>
    <t>01111081487</t>
  </si>
  <si>
    <t>ديفيد صبحي صبحي</t>
  </si>
  <si>
    <t>01221621183</t>
  </si>
  <si>
    <t>01222207321</t>
  </si>
  <si>
    <t>01202008905</t>
  </si>
  <si>
    <t>39أ</t>
  </si>
  <si>
    <t>اوكازيون</t>
  </si>
  <si>
    <t xml:space="preserve">ديفيد عادل تادرس </t>
  </si>
  <si>
    <t>01286648057</t>
  </si>
  <si>
    <t xml:space="preserve">رزق جميل رزق </t>
  </si>
  <si>
    <t>01220980507</t>
  </si>
  <si>
    <t>التهامي</t>
  </si>
  <si>
    <t>محمد فكري</t>
  </si>
  <si>
    <t xml:space="preserve">روماني باسم عوض </t>
  </si>
  <si>
    <t>01129554953</t>
  </si>
  <si>
    <t>حشاد سليم الرفه</t>
  </si>
  <si>
    <t>ستيفن عماد عاطف عزيز</t>
  </si>
  <si>
    <t>مينا لغات الشروق</t>
  </si>
  <si>
    <t>01274137394</t>
  </si>
  <si>
    <t>01274114792</t>
  </si>
  <si>
    <t>01221999563</t>
  </si>
  <si>
    <t>12أ</t>
  </si>
  <si>
    <t xml:space="preserve">سيلفيو سبت جون </t>
  </si>
  <si>
    <t>01126147115</t>
  </si>
  <si>
    <t>149</t>
  </si>
  <si>
    <t>جنب ماركت باشا</t>
  </si>
  <si>
    <t xml:space="preserve">فادي اسامة تادرس </t>
  </si>
  <si>
    <t>01277103413</t>
  </si>
  <si>
    <t>محمد جمعة</t>
  </si>
  <si>
    <t>حارة الزاوية الحمرا</t>
  </si>
  <si>
    <t xml:space="preserve">فادي عماد رفعت </t>
  </si>
  <si>
    <t>01220309010</t>
  </si>
  <si>
    <t>طمبه</t>
  </si>
  <si>
    <t xml:space="preserve">فادي هاني صموئيل </t>
  </si>
  <si>
    <t>01212623300</t>
  </si>
  <si>
    <t>01224365978</t>
  </si>
  <si>
    <t>01222704547</t>
  </si>
  <si>
    <t>المتوكل على الله</t>
  </si>
  <si>
    <t xml:space="preserve">فيكتور عاطف وديع </t>
  </si>
  <si>
    <t>01030008765</t>
  </si>
  <si>
    <t xml:space="preserve">فيلوباتير شريف جرجس </t>
  </si>
  <si>
    <t>01001426422</t>
  </si>
  <si>
    <t xml:space="preserve">فيلوباتير عماد كمال </t>
  </si>
  <si>
    <t>المعارف الخاصة لغات</t>
  </si>
  <si>
    <t>01022460973</t>
  </si>
  <si>
    <t>01008896400</t>
  </si>
  <si>
    <t>01023615952</t>
  </si>
  <si>
    <t>ابونا بولس</t>
  </si>
  <si>
    <t>فيلوباتير عماد لطفي ناشد</t>
  </si>
  <si>
    <t>01207053547</t>
  </si>
  <si>
    <t>مترو حدائق الزيتون</t>
  </si>
  <si>
    <t xml:space="preserve">فيلوباتير عيد اسحق </t>
  </si>
  <si>
    <t>01212357224</t>
  </si>
  <si>
    <t xml:space="preserve">فيلوباتير مايكل تادرس </t>
  </si>
  <si>
    <t>01270775776</t>
  </si>
  <si>
    <t>01203366524</t>
  </si>
  <si>
    <t>كيرلس مراد ماهر</t>
  </si>
  <si>
    <t>01210160283</t>
  </si>
  <si>
    <t>01220408558</t>
  </si>
  <si>
    <t>01227118661</t>
  </si>
  <si>
    <t>حارة جودة</t>
  </si>
  <si>
    <t>شارع المترو</t>
  </si>
  <si>
    <t>الاصيل للملابس</t>
  </si>
  <si>
    <t xml:space="preserve">ماثيو موسي مكاري </t>
  </si>
  <si>
    <t>دي لا سال - الظاهر</t>
  </si>
  <si>
    <t>022564361</t>
  </si>
  <si>
    <t>01229336768</t>
  </si>
  <si>
    <t>01227272905</t>
  </si>
  <si>
    <t>01223345011</t>
  </si>
  <si>
    <t>49 برج الفرنساوي</t>
  </si>
  <si>
    <t>مول الفرنساوي</t>
  </si>
  <si>
    <t xml:space="preserve">مارتن ماجد شوقي </t>
  </si>
  <si>
    <t>01280815644</t>
  </si>
  <si>
    <t>01288867945</t>
  </si>
  <si>
    <t>01203830700</t>
  </si>
  <si>
    <t>39</t>
  </si>
  <si>
    <t>صيدلية مروة</t>
  </si>
  <si>
    <t xml:space="preserve">مايكل سامي جابر </t>
  </si>
  <si>
    <t>مصر الجديدة الرسمية لغات</t>
  </si>
  <si>
    <t>01210627458</t>
  </si>
  <si>
    <t>01200886142</t>
  </si>
  <si>
    <t>منير</t>
  </si>
  <si>
    <t xml:space="preserve">ميخائيل القس اسحق تادرس </t>
  </si>
  <si>
    <t>01272666555</t>
  </si>
  <si>
    <t>51</t>
  </si>
  <si>
    <t xml:space="preserve">مينا رفعت شحاته </t>
  </si>
  <si>
    <t>01270888757</t>
  </si>
  <si>
    <t>المحطة</t>
  </si>
  <si>
    <t>يوسف امير عادل ونجد</t>
  </si>
  <si>
    <t>01287116941</t>
  </si>
  <si>
    <t>محمد بخيت</t>
  </si>
  <si>
    <t xml:space="preserve">البرت امير سليمان </t>
  </si>
  <si>
    <t>01224571364</t>
  </si>
  <si>
    <t>مصنع الزجاج</t>
  </si>
  <si>
    <t xml:space="preserve">بافلي اديب سمير </t>
  </si>
  <si>
    <t>01096444322</t>
  </si>
  <si>
    <t>01005755905</t>
  </si>
  <si>
    <t>توفيق طمبه</t>
  </si>
  <si>
    <t>صيدلية العناني</t>
  </si>
  <si>
    <t xml:space="preserve">بولا تادرس حكيم </t>
  </si>
  <si>
    <t>01223356800</t>
  </si>
  <si>
    <t>ابو حشيش</t>
  </si>
  <si>
    <t>مستشفى المعلمين</t>
  </si>
  <si>
    <t xml:space="preserve">جرجس موريس ادور </t>
  </si>
  <si>
    <t>01273302206</t>
  </si>
  <si>
    <t>أمام  شركة الغاز</t>
  </si>
  <si>
    <t>جورج عماد تادرس لبيب</t>
  </si>
  <si>
    <t>01226778896</t>
  </si>
  <si>
    <t>158ب ابراج العز</t>
  </si>
  <si>
    <t>853</t>
  </si>
  <si>
    <t xml:space="preserve">شارل شريف مكرم </t>
  </si>
  <si>
    <t>01282331835</t>
  </si>
  <si>
    <t>33/35</t>
  </si>
  <si>
    <t>صيدلة بولا نشأت</t>
  </si>
  <si>
    <t>فادي ميلاد سمير جرجس</t>
  </si>
  <si>
    <t>01208497754</t>
  </si>
  <si>
    <t>الكافوري</t>
  </si>
  <si>
    <t xml:space="preserve">فرانك عصام جرجس </t>
  </si>
  <si>
    <t>01223805079</t>
  </si>
  <si>
    <t>السباق</t>
  </si>
  <si>
    <t>01228178244</t>
  </si>
  <si>
    <t>01222535240</t>
  </si>
  <si>
    <t>01066208800</t>
  </si>
  <si>
    <t>محمد مصطفى</t>
  </si>
  <si>
    <t>203</t>
  </si>
  <si>
    <t xml:space="preserve">كيرلس امير عطية </t>
  </si>
  <si>
    <t>01277969329</t>
  </si>
  <si>
    <t>مكوجي ابو مينا</t>
  </si>
  <si>
    <t xml:space="preserve">كيرلس روماني اسحق </t>
  </si>
  <si>
    <t>01226226754</t>
  </si>
  <si>
    <t>عبد القادر مصطفى</t>
  </si>
  <si>
    <t>عزبة النخل</t>
  </si>
  <si>
    <t xml:space="preserve">كيرلس سامي شحاته </t>
  </si>
  <si>
    <t>01272251998</t>
  </si>
  <si>
    <t xml:space="preserve">مارتن مجدي جمال </t>
  </si>
  <si>
    <t>مجدي بيبي هوم</t>
  </si>
  <si>
    <t>01288766127</t>
  </si>
  <si>
    <t>01003389412</t>
  </si>
  <si>
    <t>تكيفات العريش</t>
  </si>
  <si>
    <t xml:space="preserve">مارتن نادر جابر </t>
  </si>
  <si>
    <t>01212169781</t>
  </si>
  <si>
    <t>01006056253</t>
  </si>
  <si>
    <t>01200439667</t>
  </si>
  <si>
    <t>سوبر ماركت العصيم</t>
  </si>
  <si>
    <t xml:space="preserve">مارك جاك جميل </t>
  </si>
  <si>
    <t>01203343883</t>
  </si>
  <si>
    <t>قباء</t>
  </si>
  <si>
    <t xml:space="preserve">مارك سامح ابراهيم </t>
  </si>
  <si>
    <t>01228024575</t>
  </si>
  <si>
    <t>خليل ابراهيم</t>
  </si>
  <si>
    <t>سينما الزيتون</t>
  </si>
  <si>
    <t xml:space="preserve">ماركو عادل مرقس </t>
  </si>
  <si>
    <t>01273716660</t>
  </si>
  <si>
    <t xml:space="preserve">ميشيل اكرامي حبيب </t>
  </si>
  <si>
    <t>01276032190</t>
  </si>
  <si>
    <t xml:space="preserve">مينا اسامة نجيب </t>
  </si>
  <si>
    <t>01271292790</t>
  </si>
  <si>
    <t xml:space="preserve">مينا ميلاد نعيم </t>
  </si>
  <si>
    <t>01225629416</t>
  </si>
  <si>
    <t xml:space="preserve">نوفير اسامة حنا </t>
  </si>
  <si>
    <t>01282947846</t>
  </si>
  <si>
    <t>حسن خليل</t>
  </si>
  <si>
    <t xml:space="preserve">يوسف ريمون فؤاد </t>
  </si>
  <si>
    <t>01223573381</t>
  </si>
  <si>
    <t>105</t>
  </si>
  <si>
    <t>فادي عماد موسى</t>
  </si>
  <si>
    <t>الزيتون الاعدادية الحلمية</t>
  </si>
  <si>
    <t>01229110715</t>
  </si>
  <si>
    <t>01226354357</t>
  </si>
  <si>
    <t>بعد مول خريشة المدخل من الداخل</t>
  </si>
  <si>
    <t>رضا صبحي ايوب</t>
  </si>
  <si>
    <t>الجامعه الإسلامية</t>
  </si>
  <si>
    <t>01127226522</t>
  </si>
  <si>
    <t>01282043584</t>
  </si>
  <si>
    <t>01122926980</t>
  </si>
  <si>
    <t>حارة شلبي</t>
  </si>
  <si>
    <t>كيرلس صبحي ايوب</t>
  </si>
  <si>
    <t xml:space="preserve">مينا عنتر عماد </t>
  </si>
  <si>
    <t>01277929169</t>
  </si>
  <si>
    <t>01273588172</t>
  </si>
  <si>
    <t>67</t>
  </si>
  <si>
    <t>طومان باي</t>
  </si>
  <si>
    <t>ايميل رضا عزيز</t>
  </si>
  <si>
    <t>01507553304</t>
  </si>
  <si>
    <t>01211883483</t>
  </si>
  <si>
    <t>01274610845
01503843764</t>
  </si>
  <si>
    <t>برج اللؤلؤة أمام مركز السكر علشان في ٤ عمارات رقم ٣٦ 
بوابه العمارة في الوجه</t>
  </si>
  <si>
    <t>كيرلس باسم فوزي</t>
  </si>
  <si>
    <t>01275313311</t>
  </si>
  <si>
    <t>01204180022</t>
  </si>
  <si>
    <t>01278061444</t>
  </si>
  <si>
    <t>توماس مرزق يوسف</t>
  </si>
  <si>
    <t>مدرسة البلد في المنيا</t>
  </si>
  <si>
    <t>01202551207</t>
  </si>
  <si>
    <t>عبده رزق</t>
  </si>
  <si>
    <t>اخر عمارة علي ايدك الشمال</t>
  </si>
  <si>
    <t>شنودة مرزق يوسف</t>
  </si>
  <si>
    <t>01288439155</t>
  </si>
  <si>
    <t>01202003744</t>
  </si>
  <si>
    <t>عند سور المترو من نصوح امام محل بلايستيشن</t>
  </si>
  <si>
    <t>كريم وائل نبيل</t>
  </si>
  <si>
    <t>01226305361</t>
  </si>
  <si>
    <t>01221871080</t>
  </si>
  <si>
    <t>5/9</t>
  </si>
  <si>
    <t>01211913990</t>
  </si>
  <si>
    <t>يوسف رؤوف موريس</t>
  </si>
  <si>
    <t>01022621993</t>
  </si>
  <si>
    <t>48</t>
  </si>
  <si>
    <t xml:space="preserve">ابانوب إيهاب سعد </t>
  </si>
  <si>
    <t>01225054366</t>
  </si>
  <si>
    <t>يحيى توفيق</t>
  </si>
  <si>
    <t>الاصبغ وجسر السويس</t>
  </si>
  <si>
    <t>افرايم خليل</t>
  </si>
  <si>
    <t>01282219972</t>
  </si>
  <si>
    <t>6أ برج الامير</t>
  </si>
  <si>
    <t>سوبر ماركت العثيم</t>
  </si>
  <si>
    <t>الولد ف 3 إعدادى و بيحضر مع صحابه فى 2 إعدادى</t>
  </si>
  <si>
    <t>ابانوب شنودة اسحق</t>
  </si>
  <si>
    <t>01221914200</t>
  </si>
  <si>
    <t>18/16</t>
  </si>
  <si>
    <t xml:space="preserve">مستجد و حضر مرة واحدة بس 
رقم الأب 01222647685
اخوة رب </t>
  </si>
  <si>
    <t xml:space="preserve">ارساني عماد يوسف </t>
  </si>
  <si>
    <t>01287867006</t>
  </si>
  <si>
    <t>نور الدين</t>
  </si>
  <si>
    <t>والده متوفى و الولد بيشتغل و مش منتظم فى المدرسة</t>
  </si>
  <si>
    <t>01228690022</t>
  </si>
  <si>
    <t>دكتور كمال عبدالله</t>
  </si>
  <si>
    <t>فتح الله ماركت</t>
  </si>
  <si>
    <t>ليس له أب إعتراف و منتقل حديثا الى الزيتون و حضر مرة واحدة فقط (مستجد)
رقم الوالد 01204558318 
تم افتقاده مرتين و لا يريد الحضور ف العذراء الزيتون</t>
  </si>
  <si>
    <t>بافلي عبيد منصور عبدالله</t>
  </si>
  <si>
    <t>01289138903</t>
  </si>
  <si>
    <t>العربي</t>
  </si>
  <si>
    <t>غير منتظم و يحضر احيانا مع فصل لوقا</t>
  </si>
  <si>
    <t>01200142417</t>
  </si>
  <si>
    <t>بيتر سعيد كمال</t>
  </si>
  <si>
    <t>01070060819</t>
  </si>
  <si>
    <t>01272276711</t>
  </si>
  <si>
    <t>عطفة زينهم</t>
  </si>
  <si>
    <t>روضا</t>
  </si>
  <si>
    <t>اخوة رب و غير منتظم و مش حافظ رقمه او عنوانه</t>
  </si>
  <si>
    <t>01200503576</t>
  </si>
  <si>
    <t>احمد السيد</t>
  </si>
  <si>
    <t xml:space="preserve">رقم الأب 01200462066 
اخوة رب </t>
  </si>
  <si>
    <t>01288225134</t>
  </si>
  <si>
    <t>نجمة الزيتون بتاع الخل</t>
  </si>
  <si>
    <t xml:space="preserve">منضم حديثا للفصل </t>
  </si>
  <si>
    <t>01277523142</t>
  </si>
  <si>
    <t>جورج مكرم</t>
  </si>
  <si>
    <t>منتظم فى كنيسة ماريوحنا حلمية الزيتون و يحضر ف العذراء الزيتون على فترات</t>
  </si>
  <si>
    <t>جاستن مجدي ابراهيم توفيق</t>
  </si>
  <si>
    <t>01507654113</t>
  </si>
  <si>
    <t>01220784389</t>
  </si>
  <si>
    <t>01289733047</t>
  </si>
  <si>
    <t>مينا كلين</t>
  </si>
  <si>
    <t>منتظم الحضور</t>
  </si>
  <si>
    <t xml:space="preserve">جون روماني مسعد </t>
  </si>
  <si>
    <t>01553010065</t>
  </si>
  <si>
    <t>01222235265</t>
  </si>
  <si>
    <t>01208222760</t>
  </si>
  <si>
    <t xml:space="preserve">جون اميل سعيد </t>
  </si>
  <si>
    <t>01277507539</t>
  </si>
  <si>
    <t>26/22</t>
  </si>
  <si>
    <t>الفريق محمود شكري</t>
  </si>
  <si>
    <t>كوبري القبة</t>
  </si>
  <si>
    <t xml:space="preserve">بيحضر فى كنيسة مارجرجس </t>
  </si>
  <si>
    <t xml:space="preserve">ديفيد جابر بشاره </t>
  </si>
  <si>
    <t>0120601071</t>
  </si>
  <si>
    <t>احمد جاد</t>
  </si>
  <si>
    <t>عبد الله الرفاعي</t>
  </si>
  <si>
    <t>المرج</t>
  </si>
  <si>
    <t>من ملوى ف المنيا و كان مسافر البلد لمدة سنة و غير موجود بالقاهرة و لكنه عاد و مقيم بالمرج و يحضر القداسات ف العذراء الزيتون ولا يحضر مدار الاحد و هو غير منتطم لانه يعمل
اخوة رب 
رقم الاب 01279151232</t>
  </si>
  <si>
    <t>ريمون باسم عوني نجيب</t>
  </si>
  <si>
    <t>01282067820</t>
  </si>
  <si>
    <t>عطفه</t>
  </si>
  <si>
    <t>صيدليه الليث</t>
  </si>
  <si>
    <t xml:space="preserve">والده غير موجود بالمنزل و ظروفهم المادية متعثرة و الولد بيشتغل ولا يذهب للمدرسة و بيصرف عالبيت و ليس له اب اعتراف 
مقيم عند جدته لعدم القدرة على سداد ايجار المنزل و عنوانها 6 شارع مسعد متفرع من العزيز بالله امام التوحيد و النور …..دور رابع شقة اخر الطرقة </t>
  </si>
  <si>
    <t>سامح ملاك صابر</t>
  </si>
  <si>
    <t>01286020172</t>
  </si>
  <si>
    <t>كازيون</t>
  </si>
  <si>
    <t>رقم الأب 01202028781
اخوة رب</t>
  </si>
  <si>
    <t>01212169813</t>
  </si>
  <si>
    <t>حارة العربي</t>
  </si>
  <si>
    <t>تم افتقاده منزليا و يوجد مشاكل بين والده و والدته (منفصلين) و يحتاج معاملة و افتقاد خاص</t>
  </si>
  <si>
    <t>01277344941</t>
  </si>
  <si>
    <t>رقم الموبايل غير موجود بالخدمة و عنوان المنزل غير صحيح (تم زيارة العنوان و لا يوجد دور خامس فى العقار المكتوب)</t>
  </si>
  <si>
    <t>01276604851</t>
  </si>
  <si>
    <t>مستشفى الجنزوري</t>
  </si>
  <si>
    <t>الاب حارس عقار و الولد غير منتظم بالكنيسة والام بتضربه
رقم الأم 01220053746
اخوة رب</t>
  </si>
  <si>
    <t>فيلوباتير مدحت عاطف</t>
  </si>
  <si>
    <t>01201867728</t>
  </si>
  <si>
    <t>3 برج التوفيقية</t>
  </si>
  <si>
    <t xml:space="preserve">كنتاكى ترعة الجبل </t>
  </si>
  <si>
    <t>حضر مرة واحدة فقط و لا يوجد اب اعتراف 
رقم الوالد 01007857709 
انتظم فى كنيسة القديس تيموثاوس</t>
  </si>
  <si>
    <t>كيرلس مرقس</t>
  </si>
  <si>
    <t>01221073346</t>
  </si>
  <si>
    <t>رقم الأب 01208463220 
اخوة رب</t>
  </si>
  <si>
    <t>كيفن ماجد ملاك</t>
  </si>
  <si>
    <t>01228836358</t>
  </si>
  <si>
    <t>01220056646</t>
  </si>
  <si>
    <t>01200863575</t>
  </si>
  <si>
    <t>صيدلية الهندى</t>
  </si>
  <si>
    <t>منتقل حديثا للزيتون 
رقم الاب 01220056646</t>
  </si>
  <si>
    <t>01554346152</t>
  </si>
  <si>
    <t>رقم الأب 01006006741  
غير منتظم ولم يحضر الا مرتين ف السنة و تم افتقاده</t>
  </si>
  <si>
    <t xml:space="preserve">مارتن روماني وجيه </t>
  </si>
  <si>
    <t>01220993095</t>
  </si>
  <si>
    <t>منتقل حديثا الى الزيتون و هادئ جدا و ليس له صداقات ف الزيتون و يحتاج للمصاحبة 
رقم الأم 01274502404</t>
  </si>
  <si>
    <t>مارك منير</t>
  </si>
  <si>
    <t>01212431399</t>
  </si>
  <si>
    <t>73</t>
  </si>
  <si>
    <t>محطة الزيتون (الشرقية)</t>
  </si>
  <si>
    <t>رقم الأم 01276646904 
غير منتظم لانه يعمل مع والده</t>
  </si>
  <si>
    <t>مارك مينا مجدي لبيب</t>
  </si>
  <si>
    <t>المارونية</t>
  </si>
  <si>
    <t>01207126615</t>
  </si>
  <si>
    <t>01275220785</t>
  </si>
  <si>
    <t>ابونا مينا (مارجرجس هليوبوليس)</t>
  </si>
  <si>
    <t>114</t>
  </si>
  <si>
    <t>رايا</t>
  </si>
  <si>
    <t>01212174390</t>
  </si>
  <si>
    <t>3/9</t>
  </si>
  <si>
    <t>بيحضر فى فصل مستر اشرف طلعت و هو غير منتظم لانه يعمل (اخوة رب)</t>
  </si>
  <si>
    <t>ميلاد راضي ماهر</t>
  </si>
  <si>
    <t>01115815072</t>
  </si>
  <si>
    <t>رقم الأب 01279136863
اخوة رب</t>
  </si>
  <si>
    <t xml:space="preserve">مينا روماني خلف </t>
  </si>
  <si>
    <t>01282200865</t>
  </si>
  <si>
    <t xml:space="preserve">يعترف عند ابونا انطونيوس محارب و اخر مرة اعترف من سنة </t>
  </si>
  <si>
    <t>مينا منير امير</t>
  </si>
  <si>
    <t>01207141584</t>
  </si>
  <si>
    <t>44</t>
  </si>
  <si>
    <t>الفرجاني</t>
  </si>
  <si>
    <t>وائل هلال لمعي</t>
  </si>
  <si>
    <t>01123261879</t>
  </si>
  <si>
    <t>عزت</t>
  </si>
  <si>
    <t>تحت العمارة جيم حريمى</t>
  </si>
  <si>
    <t>اخوة رب و بيحضر يوم الاحد</t>
  </si>
  <si>
    <t>يوسف شنودة</t>
  </si>
  <si>
    <t xml:space="preserve">اخوة رب و منتظم </t>
  </si>
  <si>
    <t xml:space="preserve">يوسف ميرو ممدوح </t>
  </si>
  <si>
    <t>01557454492</t>
  </si>
  <si>
    <t>هليوبوليس</t>
  </si>
  <si>
    <t>بيحضر مدارس الاحد ف مارجرجس هليوبوليس و لكن القداسات ف العذراء الزيتون و ليس له اب اعتراف</t>
  </si>
  <si>
    <t>يوسف مينا مجدي</t>
  </si>
  <si>
    <t>01271902201</t>
  </si>
  <si>
    <t>مدرسة الاورمان</t>
  </si>
  <si>
    <t xml:space="preserve">ابانوب اشرف جابر </t>
  </si>
  <si>
    <t>01202515739</t>
  </si>
  <si>
    <t>01200947940</t>
  </si>
  <si>
    <t>01221870850</t>
  </si>
  <si>
    <t>بي تك</t>
  </si>
  <si>
    <t xml:space="preserve">ارساني جرجس نعيم </t>
  </si>
  <si>
    <t>01220110112</t>
  </si>
  <si>
    <t>01113100056</t>
  </si>
  <si>
    <t>01224343966</t>
  </si>
  <si>
    <t>مدرسة مارمرقس</t>
  </si>
  <si>
    <t xml:space="preserve">انطونيوس باسم وليم </t>
  </si>
  <si>
    <t>اون هليوبوليس</t>
  </si>
  <si>
    <t>01203103338</t>
  </si>
  <si>
    <t>01273588102</t>
  </si>
  <si>
    <t>136</t>
  </si>
  <si>
    <t>عمارة تي ايه داتا جانب قهوة الجونة</t>
  </si>
  <si>
    <t xml:space="preserve">انطونيوس يونان بولس </t>
  </si>
  <si>
    <t>01203471684</t>
  </si>
  <si>
    <t>01289671375</t>
  </si>
  <si>
    <t>ناصية اسعد</t>
  </si>
  <si>
    <t>اورانج</t>
  </si>
  <si>
    <t xml:space="preserve">باسم ايمن انور </t>
  </si>
  <si>
    <t>01271730318</t>
  </si>
  <si>
    <t>50</t>
  </si>
  <si>
    <t xml:space="preserve">بافلي بطرس اليشع </t>
  </si>
  <si>
    <t>01277803152</t>
  </si>
  <si>
    <t>01223923967</t>
  </si>
  <si>
    <t>01285055073</t>
  </si>
  <si>
    <t>22/34</t>
  </si>
  <si>
    <t>قهوة</t>
  </si>
  <si>
    <t xml:space="preserve">بيتر زكريا زكريا </t>
  </si>
  <si>
    <t>01223335982</t>
  </si>
  <si>
    <t>دار نسايم المحبة</t>
  </si>
  <si>
    <t>بيشوي ايمن عبد الروؤف</t>
  </si>
  <si>
    <t>01552911310</t>
  </si>
  <si>
    <t>حارة حمادة</t>
  </si>
  <si>
    <t>كشري الفرسان</t>
  </si>
  <si>
    <t xml:space="preserve">بيشوي جمال صدقي </t>
  </si>
  <si>
    <t>01226696920</t>
  </si>
  <si>
    <t>01552258995</t>
  </si>
  <si>
    <t xml:space="preserve">بيير جوزيف مكرم </t>
  </si>
  <si>
    <t>01122082033</t>
  </si>
  <si>
    <t>34</t>
  </si>
  <si>
    <t>علي ابراهيم رمزي</t>
  </si>
  <si>
    <t>مصر الجديدة</t>
  </si>
  <si>
    <t>بالقرب من مستشفى هليوبوليس</t>
  </si>
  <si>
    <t xml:space="preserve">جان جرجس فايز </t>
  </si>
  <si>
    <t>كلية السلام</t>
  </si>
  <si>
    <t>01553395353</t>
  </si>
  <si>
    <t>01226225401</t>
  </si>
  <si>
    <t>كوبري العزيز بالله</t>
  </si>
  <si>
    <t xml:space="preserve">جورج ريمون جرجس </t>
  </si>
  <si>
    <t>01205282559</t>
  </si>
  <si>
    <t>40 أ وابور المياه - عند شركة المياه</t>
  </si>
  <si>
    <t xml:space="preserve">جون سعد امون </t>
  </si>
  <si>
    <t>01273098781</t>
  </si>
  <si>
    <t>باسيلي روفائيل</t>
  </si>
  <si>
    <t xml:space="preserve">جون ناجي نجيب </t>
  </si>
  <si>
    <t>سان جورج هليوبوليس</t>
  </si>
  <si>
    <t>01553577553</t>
  </si>
  <si>
    <t>01200371969</t>
  </si>
  <si>
    <t>روملنياي</t>
  </si>
  <si>
    <t>برج التوفيقية</t>
  </si>
  <si>
    <t>جوفاني شريف شوقي</t>
  </si>
  <si>
    <t>سان جون مدينة نصر</t>
  </si>
  <si>
    <t>01212390392</t>
  </si>
  <si>
    <t>01006277207</t>
  </si>
  <si>
    <t>ابونا مكاري (كنيسة تيموثاوس)</t>
  </si>
  <si>
    <t>كافيه اوزوز</t>
  </si>
  <si>
    <t>دانيال جورج جميل عازر</t>
  </si>
  <si>
    <t>01225918817</t>
  </si>
  <si>
    <t>ديفيد اشرف عادلي</t>
  </si>
  <si>
    <t>01211388197</t>
  </si>
  <si>
    <t xml:space="preserve">ديفيد باسم لمعي </t>
  </si>
  <si>
    <t>01222552905</t>
  </si>
  <si>
    <t>السينما</t>
  </si>
  <si>
    <t xml:space="preserve">رامز ماهر رمزي </t>
  </si>
  <si>
    <t>01201315647</t>
  </si>
  <si>
    <t>حسن الخليل</t>
  </si>
  <si>
    <t xml:space="preserve">صموئيل نتعي يعقوب </t>
  </si>
  <si>
    <t>01228205903</t>
  </si>
  <si>
    <t>42 الوادى الجديد - أحمد عرابى  انزل مترو شبرا الخيمة واركب عربيات أم بيومى وانزل عند كشرى سلطان</t>
  </si>
  <si>
    <t>01277218446</t>
  </si>
  <si>
    <t>محل نظارات الالوان السبعة</t>
  </si>
  <si>
    <t>01272584677</t>
  </si>
  <si>
    <t>عبد المنعم سعيد</t>
  </si>
  <si>
    <t>عزبة عامر</t>
  </si>
  <si>
    <t xml:space="preserve">فادي اشرف جميل </t>
  </si>
  <si>
    <t xml:space="preserve">فادي سعيد نبيه </t>
  </si>
  <si>
    <t>01028816046</t>
  </si>
  <si>
    <t>111</t>
  </si>
  <si>
    <t xml:space="preserve">فرانك عصام عصام </t>
  </si>
  <si>
    <t>السبق</t>
  </si>
  <si>
    <t xml:space="preserve">كارل مينا عادل </t>
  </si>
  <si>
    <t>01228021860</t>
  </si>
  <si>
    <t>01226358748</t>
  </si>
  <si>
    <t>01286457007</t>
  </si>
  <si>
    <t xml:space="preserve">كيرلس رفعت فرنساوي </t>
  </si>
  <si>
    <t>01558880552</t>
  </si>
  <si>
    <t xml:space="preserve">كيرلس عزت ظريف </t>
  </si>
  <si>
    <t>01552911294</t>
  </si>
  <si>
    <t>محمد فريد</t>
  </si>
  <si>
    <t>جزارة المعلم</t>
  </si>
  <si>
    <t>01220072419</t>
  </si>
  <si>
    <t>01220859730</t>
  </si>
  <si>
    <t xml:space="preserve">كيرلس كمال كامل </t>
  </si>
  <si>
    <t>01204481885</t>
  </si>
  <si>
    <t xml:space="preserve">كيرلس كمال ماهر </t>
  </si>
  <si>
    <t>المعارف الخاصة الليث</t>
  </si>
  <si>
    <t>01012515382</t>
  </si>
  <si>
    <t>01004238014</t>
  </si>
  <si>
    <t>01222532211</t>
  </si>
  <si>
    <t>144</t>
  </si>
  <si>
    <t>معرض ميراث للاثاث</t>
  </si>
  <si>
    <t xml:space="preserve">كيرلس مينا محب </t>
  </si>
  <si>
    <t>01211901930</t>
  </si>
  <si>
    <t>صيدلية ميشيل</t>
  </si>
  <si>
    <t xml:space="preserve">كيفين هاني ادوارد </t>
  </si>
  <si>
    <t>01200743943</t>
  </si>
  <si>
    <t>18  محطة الزيتون  اسفل  كوبرى العزيز بالله بجوار شارع الصوفاني بجوار سور المترو</t>
  </si>
  <si>
    <t>01221915624</t>
  </si>
  <si>
    <t>109</t>
  </si>
  <si>
    <t>فوق صيدلية دوس</t>
  </si>
  <si>
    <t xml:space="preserve">مارتن شادي هاني </t>
  </si>
  <si>
    <t>01280006217</t>
  </si>
  <si>
    <t>22 وابور المياه أمام نادى طلائع الزيتون ( او )  35ش دار السعادة (صيدلية ايفا)  امام مدرسة امون</t>
  </si>
  <si>
    <t>805</t>
  </si>
  <si>
    <t xml:space="preserve">مارك دانيال لبيب </t>
  </si>
  <si>
    <t>صحارة لغات الفجالة</t>
  </si>
  <si>
    <t>01273638141</t>
  </si>
  <si>
    <t>01220511115</t>
  </si>
  <si>
    <t>01220556666</t>
  </si>
  <si>
    <t xml:space="preserve">مارك سامح لوقا </t>
  </si>
  <si>
    <t>01100918192</t>
  </si>
  <si>
    <t>01272342424</t>
  </si>
  <si>
    <t>01555355879</t>
  </si>
  <si>
    <t>معمل السكر</t>
  </si>
  <si>
    <t xml:space="preserve">مارك وسيم موريس </t>
  </si>
  <si>
    <t>01200479983</t>
  </si>
  <si>
    <t>01289970972</t>
  </si>
  <si>
    <t>01552616622</t>
  </si>
  <si>
    <t>التوحيد والنور</t>
  </si>
  <si>
    <t xml:space="preserve">مايكل اشرف ابراهيم </t>
  </si>
  <si>
    <t>01279040069</t>
  </si>
  <si>
    <t>01205411420</t>
  </si>
  <si>
    <t>01201797140</t>
  </si>
  <si>
    <t>سوبرماركت</t>
  </si>
  <si>
    <t>تالت عمارة واخدة ناصيتين</t>
  </si>
  <si>
    <t>مجدي سامح عادل وهيب</t>
  </si>
  <si>
    <t>01279432280</t>
  </si>
  <si>
    <t>01280886628</t>
  </si>
  <si>
    <t>ابونا بساده (كنيسة مريم المجدلية شبرا الخيمة)</t>
  </si>
  <si>
    <t>قهوة سنان</t>
  </si>
  <si>
    <t xml:space="preserve">مكاريوس سمير مهاود </t>
  </si>
  <si>
    <t>01222618980</t>
  </si>
  <si>
    <t>93</t>
  </si>
  <si>
    <t>قهوة ابو عامر</t>
  </si>
  <si>
    <t>عمارة الغاز</t>
  </si>
  <si>
    <t xml:space="preserve">مكاريوس مايكل مايكل </t>
  </si>
  <si>
    <t xml:space="preserve">مينا اشرف اسحاق </t>
  </si>
  <si>
    <t>01282822809</t>
  </si>
  <si>
    <t>37</t>
  </si>
  <si>
    <t xml:space="preserve">مينا ايمن لطيف </t>
  </si>
  <si>
    <t>01207299458</t>
  </si>
  <si>
    <t>ابو شائكة</t>
  </si>
  <si>
    <t xml:space="preserve">مينا ماجد نجيب </t>
  </si>
  <si>
    <t>معمل السكر/ مدرسة المعارف</t>
  </si>
  <si>
    <t xml:space="preserve"> برج الؤلؤة / معمل السكر</t>
  </si>
  <si>
    <t xml:space="preserve">مينا مدحت سمير </t>
  </si>
  <si>
    <t>01204657301</t>
  </si>
  <si>
    <t xml:space="preserve">مينا وحيد كمال </t>
  </si>
  <si>
    <t xml:space="preserve">هاني حنا مكرم </t>
  </si>
  <si>
    <t xml:space="preserve">يوسف اشرف جورج </t>
  </si>
  <si>
    <t>01221004684</t>
  </si>
  <si>
    <t>13أ</t>
  </si>
  <si>
    <t>مدرسة مودرن سكول</t>
  </si>
  <si>
    <t xml:space="preserve">يوسف باسم جورج </t>
  </si>
  <si>
    <t>01280808288</t>
  </si>
  <si>
    <t>فهمي الخولي</t>
  </si>
  <si>
    <t>بعد باشا ماركت قبل جزارة الأمانة أمام ترزي</t>
  </si>
  <si>
    <t xml:space="preserve">يوسف بولا جميل </t>
  </si>
  <si>
    <t>01220065540</t>
  </si>
  <si>
    <t>01223737046</t>
  </si>
  <si>
    <t>01224313646</t>
  </si>
  <si>
    <t xml:space="preserve">يوسف حنا ابو الخير </t>
  </si>
  <si>
    <t>01119930710</t>
  </si>
  <si>
    <t>يوسف رضا يونان الشهيد</t>
  </si>
  <si>
    <t>01066774495</t>
  </si>
  <si>
    <t>الراعي</t>
  </si>
  <si>
    <t>جانب قهوة ارابيسك، مدرسة الجامعة الإسلامية</t>
  </si>
  <si>
    <t>فادي فارس عبد الاحد</t>
  </si>
  <si>
    <t>مرقس صبري وديع</t>
  </si>
  <si>
    <t>01272422226</t>
  </si>
  <si>
    <t>93 مساكن السعودية</t>
  </si>
  <si>
    <t>السواح</t>
  </si>
  <si>
    <t>الاميرية</t>
  </si>
  <si>
    <t>معرض بسكو مصر</t>
  </si>
  <si>
    <t>Range</t>
  </si>
  <si>
    <t>att_time</t>
  </si>
  <si>
    <t>late</t>
  </si>
  <si>
    <t>att_date</t>
  </si>
  <si>
    <t>no</t>
  </si>
  <si>
    <t>yes</t>
  </si>
  <si>
    <t>مايكل زكي عزمي</t>
  </si>
  <si>
    <t>01227509565</t>
  </si>
  <si>
    <t>الصايغ</t>
  </si>
  <si>
    <t>فتح الله</t>
  </si>
  <si>
    <t>يوسف جيمي ادور</t>
  </si>
  <si>
    <t>المستقبل حمامات القبة</t>
  </si>
  <si>
    <t>0103276620</t>
  </si>
  <si>
    <t>تقسيم ماهر</t>
  </si>
  <si>
    <t>ماثيو سامح فايز</t>
  </si>
  <si>
    <t>الخطيب</t>
  </si>
  <si>
    <t>0226516018</t>
  </si>
  <si>
    <t>01095260645</t>
  </si>
  <si>
    <t>01222625559</t>
  </si>
  <si>
    <t>01002752907</t>
  </si>
  <si>
    <t>305</t>
  </si>
  <si>
    <t>بولا يسري شوقي</t>
  </si>
  <si>
    <t>015504773290</t>
  </si>
  <si>
    <t>01004555568</t>
  </si>
  <si>
    <t>01274252820</t>
  </si>
  <si>
    <t>41</t>
  </si>
  <si>
    <t>نور لطفي حكيم سيف</t>
  </si>
  <si>
    <t>عمرو ابن عبد العزيز</t>
  </si>
  <si>
    <t>01102941591</t>
  </si>
  <si>
    <t>01005435154</t>
  </si>
  <si>
    <t>01159106318</t>
  </si>
  <si>
    <t>مدخل المعسكر</t>
  </si>
  <si>
    <t>جامع</t>
  </si>
  <si>
    <t>فيلوباتير سامي نمر</t>
  </si>
  <si>
    <t>الانجيلية الحديثة</t>
  </si>
  <si>
    <t>0226360154</t>
  </si>
  <si>
    <t>01098939627</t>
  </si>
  <si>
    <t>01070458009</t>
  </si>
  <si>
    <t>01098932799</t>
  </si>
  <si>
    <t>132</t>
  </si>
  <si>
    <t>حاتي الامانة</t>
  </si>
  <si>
    <t>ستيفن اسحاق عزت</t>
  </si>
  <si>
    <t>مينا سعد ميخائيل</t>
  </si>
  <si>
    <t>الزيتون الاعدادية بنين</t>
  </si>
  <si>
    <t>01284188124</t>
  </si>
  <si>
    <t>حبيب ايهاب</t>
  </si>
  <si>
    <t>01226960679</t>
  </si>
  <si>
    <t>01207999081</t>
  </si>
  <si>
    <t>01009322893</t>
  </si>
  <si>
    <t>ابونا ميخائيل (مارجرجس عين شمس)</t>
  </si>
  <si>
    <t>15/21</t>
  </si>
  <si>
    <t>جوستن تامر وجدي</t>
  </si>
  <si>
    <t>01200356633</t>
  </si>
  <si>
    <t>ابونا صرابامون</t>
  </si>
  <si>
    <t>بيير ماجد عريان</t>
  </si>
  <si>
    <t>0221866845</t>
  </si>
  <si>
    <t>01229869215</t>
  </si>
  <si>
    <t>01201605290</t>
  </si>
  <si>
    <t>01226397392</t>
  </si>
  <si>
    <t>ابونا توماس (كنيسة الزاوية الحمرا)</t>
  </si>
  <si>
    <t>البرج الاربعين</t>
  </si>
  <si>
    <t>كيرلس مدحت جورج</t>
  </si>
  <si>
    <t>01286884122</t>
  </si>
  <si>
    <t>الظاهر</t>
  </si>
  <si>
    <t>جيم turbo</t>
  </si>
  <si>
    <t>ماركو صفوت حبيب</t>
  </si>
  <si>
    <t>01013357995</t>
  </si>
  <si>
    <t>45</t>
  </si>
  <si>
    <t xml:space="preserve">شادي سامح عطيه </t>
  </si>
  <si>
    <t>مكاريوس محسن سلامة</t>
  </si>
  <si>
    <t>فادي مينا عاطف</t>
  </si>
  <si>
    <t>01277787938</t>
  </si>
  <si>
    <t>بلايستيشن ناسا</t>
  </si>
  <si>
    <t>المعارف الليث</t>
  </si>
  <si>
    <t>01128688081</t>
  </si>
  <si>
    <t>01248273233</t>
  </si>
  <si>
    <t>35</t>
  </si>
  <si>
    <t>فرع وي و golf gym</t>
  </si>
  <si>
    <t>مهندس حاسبات</t>
  </si>
  <si>
    <t>01067970102</t>
  </si>
  <si>
    <t>باسليوس</t>
  </si>
  <si>
    <t>29/39</t>
  </si>
  <si>
    <t>العزيز باللة</t>
  </si>
  <si>
    <t>01277332863</t>
  </si>
  <si>
    <t>جون اشرف فاروق</t>
  </si>
  <si>
    <t>المنيل المرج</t>
  </si>
  <si>
    <t>01277249186</t>
  </si>
  <si>
    <t>01226126795</t>
  </si>
  <si>
    <t>64</t>
  </si>
  <si>
    <t>مارمرقس الخاصة</t>
  </si>
  <si>
    <t>01205324878</t>
  </si>
  <si>
    <t>01271810228</t>
  </si>
  <si>
    <t>35/45</t>
  </si>
  <si>
    <t>613</t>
  </si>
  <si>
    <t>ابراج بيت العز</t>
  </si>
  <si>
    <t xml:space="preserve">فيلوباتير روماني برسوم </t>
  </si>
  <si>
    <t>كيرلس نبيل فوزي</t>
  </si>
  <si>
    <t>01010202269</t>
  </si>
  <si>
    <t>01220512674</t>
  </si>
  <si>
    <t>عمارة الفرنساوي</t>
  </si>
  <si>
    <t>56</t>
  </si>
  <si>
    <t>حارة محمود سويلم</t>
  </si>
  <si>
    <t>103</t>
  </si>
  <si>
    <t>بلايستيشن</t>
  </si>
  <si>
    <t>كيرلس فايق ماهر</t>
  </si>
  <si>
    <t>01207848674</t>
  </si>
  <si>
    <t>01280562669</t>
  </si>
  <si>
    <t>010637899</t>
  </si>
  <si>
    <t>صيدلية محمود غازي</t>
  </si>
  <si>
    <t>بيتر ماهر عزمي</t>
  </si>
  <si>
    <t>01208724040</t>
  </si>
  <si>
    <t>01211709678</t>
  </si>
  <si>
    <t>قهوة العثماني</t>
  </si>
  <si>
    <t>وسام جابر ابراهيم</t>
  </si>
  <si>
    <t>01060434746</t>
  </si>
  <si>
    <t>01210033624</t>
  </si>
  <si>
    <t>الحاج فاضل</t>
  </si>
  <si>
    <t>مينا عاطف داود</t>
  </si>
  <si>
    <t>01225311621</t>
  </si>
  <si>
    <t>01201329306</t>
  </si>
  <si>
    <t>الجليل</t>
  </si>
  <si>
    <t>محل مهرائيل</t>
  </si>
  <si>
    <t>جورج اشرف اميل</t>
  </si>
  <si>
    <t>010239818</t>
  </si>
  <si>
    <t>ابونا مينا</t>
  </si>
  <si>
    <t>دانيال جوزيف انجلو</t>
  </si>
  <si>
    <t>01507287537</t>
  </si>
  <si>
    <t>01559407640</t>
  </si>
  <si>
    <t>01150253064</t>
  </si>
  <si>
    <t>ابونا ابراهيم</t>
  </si>
  <si>
    <t>60</t>
  </si>
  <si>
    <t>23</t>
  </si>
  <si>
    <t xml:space="preserve">ايفان اسامة عادل </t>
  </si>
  <si>
    <t>جرجس بيتر البرت</t>
  </si>
  <si>
    <t>0966162666</t>
  </si>
  <si>
    <t>0922264975</t>
  </si>
  <si>
    <t>كزيون</t>
  </si>
  <si>
    <t>سوداني</t>
  </si>
  <si>
    <t xml:space="preserve">فيليب امير منير </t>
  </si>
  <si>
    <t>جرجس عماد وليم يوسف</t>
  </si>
  <si>
    <t>مكاريوس رافت بلامون</t>
  </si>
  <si>
    <t>بيتر حنا مملوك</t>
  </si>
  <si>
    <t>01228707497</t>
  </si>
  <si>
    <t>حارس عمارة</t>
  </si>
  <si>
    <t>بيشوي ملاك فوزي</t>
  </si>
  <si>
    <t>المستقبل</t>
  </si>
  <si>
    <t>محطة حدائق الزيتون</t>
  </si>
  <si>
    <t>امام الاسانسير</t>
  </si>
  <si>
    <t>01222409908</t>
  </si>
  <si>
    <t>0121847038</t>
  </si>
  <si>
    <t>01283187279</t>
  </si>
  <si>
    <t>مغسلة البتول</t>
  </si>
  <si>
    <t>كيرلس عوني رافت</t>
  </si>
  <si>
    <t>الجزائر الرسمية لغات</t>
  </si>
  <si>
    <t>01288876568</t>
  </si>
  <si>
    <t>01226361252</t>
  </si>
  <si>
    <t>01224517783</t>
  </si>
  <si>
    <t>يوسف اشرف يوسف</t>
  </si>
  <si>
    <t>01558023470</t>
  </si>
  <si>
    <t>01001862310</t>
  </si>
  <si>
    <t>01283353352</t>
  </si>
  <si>
    <t>التراجيع</t>
  </si>
  <si>
    <t>جورج نشات جورج</t>
  </si>
  <si>
    <t xml:space="preserve"> مجدى بيبى هوم </t>
  </si>
  <si>
    <t>01220646004</t>
  </si>
  <si>
    <t>01279490089</t>
  </si>
  <si>
    <t xml:space="preserve"> ابونا بيمن فى كنيسة مارمينا و البابا كيرلس الخصوص </t>
  </si>
  <si>
    <t xml:space="preserve"> كيرلس ناصر</t>
  </si>
  <si>
    <t xml:space="preserve"> المعارف الحديثه اللغات</t>
  </si>
  <si>
    <t>01271781211</t>
  </si>
  <si>
    <t>01210678228</t>
  </si>
  <si>
    <t xml:space="preserve"> ابونا كيرلس مقار</t>
  </si>
  <si>
    <t>عطفة</t>
  </si>
  <si>
    <t xml:space="preserve"> كيرلس فايق ماهر </t>
  </si>
  <si>
    <t xml:space="preserve"> مارمرقص</t>
  </si>
  <si>
    <t xml:space="preserve"> 01275432427</t>
  </si>
  <si>
    <t xml:space="preserve"> 01012637899</t>
  </si>
  <si>
    <t xml:space="preserve"> ابونا كيرلس</t>
  </si>
  <si>
    <t xml:space="preserve"> كيرلس راضي لطفي </t>
  </si>
  <si>
    <t xml:space="preserve"> سانت ماري </t>
  </si>
  <si>
    <t xml:space="preserve"> 01225672552</t>
  </si>
  <si>
    <t xml:space="preserve"> 01207190114</t>
  </si>
  <si>
    <t xml:space="preserve"> ابونا موسي مكرم من كنيسة ماريوحنا</t>
  </si>
  <si>
    <t>موازي لشارع المسيري</t>
  </si>
  <si>
    <t>جوزيف اشرف سمير</t>
  </si>
  <si>
    <t>24544849</t>
  </si>
  <si>
    <t>01273299082</t>
  </si>
  <si>
    <t>01223738233</t>
  </si>
  <si>
    <t>يوسف مسامح يوسف</t>
  </si>
  <si>
    <t>طابا</t>
  </si>
  <si>
    <t>01223710026</t>
  </si>
  <si>
    <t>01202221828</t>
  </si>
  <si>
    <t>01287027273</t>
  </si>
  <si>
    <t>الفريد</t>
  </si>
  <si>
    <t>عشري/زمزم</t>
  </si>
  <si>
    <t>كيرلس هاني منصور</t>
  </si>
  <si>
    <t>0222849207</t>
  </si>
  <si>
    <t>01211720396</t>
  </si>
  <si>
    <t>01223788897</t>
  </si>
  <si>
    <t>0128016249</t>
  </si>
  <si>
    <t>كيرلس ناصر اليكسان</t>
  </si>
  <si>
    <t>01202136051</t>
  </si>
  <si>
    <t>يوسف الامير جمال</t>
  </si>
  <si>
    <t>01270444433</t>
  </si>
  <si>
    <t>01222220221</t>
  </si>
  <si>
    <t>01228417195</t>
  </si>
  <si>
    <t>ابراج فتحالله برج 3</t>
  </si>
  <si>
    <t>كيرلس بولس عشم</t>
  </si>
  <si>
    <t>01220724699</t>
  </si>
  <si>
    <t>012805010108</t>
  </si>
  <si>
    <t>01515338031</t>
  </si>
  <si>
    <t>اوليفر مجدي سمير</t>
  </si>
  <si>
    <t>بيشوي جرجس صابر</t>
  </si>
  <si>
    <t>سانت ماري لغات</t>
  </si>
  <si>
    <t>01203353030</t>
  </si>
  <si>
    <t>01279096784</t>
  </si>
  <si>
    <t>كارفور</t>
  </si>
  <si>
    <t>جوفاني امير انور روفائيل</t>
  </si>
  <si>
    <t>جوليوس جمال سعيد</t>
  </si>
  <si>
    <t>كيرلس روماني امين ‏ حبيب</t>
  </si>
  <si>
    <t>جوفاني جون يوحنا</t>
  </si>
  <si>
    <t>ديفيد رامي مجدي</t>
  </si>
  <si>
    <t>مينا رافت حلمي</t>
  </si>
  <si>
    <t>جوفاني شريف يوسف</t>
  </si>
  <si>
    <t>فيلوباتير هاني ملاك</t>
  </si>
  <si>
    <t>كيفن هاني رضانا</t>
  </si>
  <si>
    <t>كاراس رامي رمزي</t>
  </si>
  <si>
    <t>يوسف القمص يوليوس محروس</t>
  </si>
  <si>
    <t>Maaref private school</t>
  </si>
  <si>
    <t>01270682803</t>
  </si>
  <si>
    <t>01288484420</t>
  </si>
  <si>
    <t>محل براند (برج الملكة)</t>
  </si>
  <si>
    <t>انطونيوس فوزي جرجس</t>
  </si>
  <si>
    <t>بيشوي جرجس عيد</t>
  </si>
  <si>
    <t>بيمن عماد شكري</t>
  </si>
  <si>
    <t>فادي روماني بسطا</t>
  </si>
  <si>
    <t>فادي بشرى نادي</t>
  </si>
  <si>
    <t>فادي عاطف صدقي</t>
  </si>
  <si>
    <t>مارتن انور فتحي</t>
  </si>
  <si>
    <t>مارك اشرف عادلي</t>
  </si>
  <si>
    <t xml:space="preserve"> بيشوي سامح</t>
  </si>
  <si>
    <t>F7</t>
  </si>
  <si>
    <t>F8</t>
  </si>
  <si>
    <t>F9</t>
  </si>
  <si>
    <t>F10</t>
  </si>
  <si>
    <t>F11</t>
  </si>
  <si>
    <t>01550018769</t>
  </si>
  <si>
    <t>01280698577</t>
  </si>
  <si>
    <t>ابونا انطونيوس بطرس</t>
  </si>
  <si>
    <t>ولد مواظب وممتاز جدا وبيسأل كتير</t>
  </si>
  <si>
    <t>Form ID</t>
  </si>
  <si>
    <t>Column1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</si>
  <si>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</si>
  <si>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</si>
  <si>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</si>
  <si>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</si>
  <si>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</si>
  <si>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</si>
  <si>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</si>
  <si>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</si>
  <si>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</si>
  <si>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</si>
  <si>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</si>
  <si>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Exception Statistic Report</t>
  </si>
  <si>
    <t>Stat.Date:</t>
  </si>
  <si>
    <t>Name</t>
  </si>
  <si>
    <t>Department</t>
  </si>
  <si>
    <t>Date</t>
  </si>
  <si>
    <t>First time zone</t>
  </si>
  <si>
    <t>Second time zone</t>
  </si>
  <si>
    <t>Late time(Min)</t>
  </si>
  <si>
    <t>Leave early(Min)</t>
  </si>
  <si>
    <t>Absence(Min)</t>
  </si>
  <si>
    <t>Total(Min)</t>
  </si>
  <si>
    <t>Note</t>
  </si>
  <si>
    <t>On-duty</t>
  </si>
  <si>
    <t>Off-duty</t>
  </si>
  <si>
    <t>Company</t>
  </si>
  <si>
    <t>150</t>
  </si>
  <si>
    <t>9999</t>
  </si>
  <si>
    <t>74</t>
  </si>
  <si>
    <t>76</t>
  </si>
  <si>
    <t>876</t>
  </si>
  <si>
    <t>302</t>
  </si>
  <si>
    <t>342</t>
  </si>
  <si>
    <t>13:31</t>
  </si>
  <si>
    <t>61</t>
  </si>
  <si>
    <t>89</t>
  </si>
  <si>
    <t>418</t>
  </si>
  <si>
    <t>62</t>
  </si>
  <si>
    <t>88</t>
  </si>
  <si>
    <t>715</t>
  </si>
  <si>
    <t>451</t>
  </si>
  <si>
    <t>873</t>
  </si>
  <si>
    <t>112</t>
  </si>
  <si>
    <t>329</t>
  </si>
  <si>
    <t>742</t>
  </si>
  <si>
    <t>515</t>
  </si>
  <si>
    <t>341</t>
  </si>
  <si>
    <t>417</t>
  </si>
  <si>
    <t>445</t>
  </si>
  <si>
    <t>75</t>
  </si>
  <si>
    <t>139</t>
  </si>
  <si>
    <t>91</t>
  </si>
  <si>
    <t>140</t>
  </si>
  <si>
    <t>137</t>
  </si>
  <si>
    <t>83</t>
  </si>
  <si>
    <t>511</t>
  </si>
  <si>
    <t>722</t>
  </si>
  <si>
    <t>444</t>
  </si>
  <si>
    <t>721</t>
  </si>
  <si>
    <t>12:59</t>
  </si>
  <si>
    <t>740</t>
  </si>
  <si>
    <t>13:27</t>
  </si>
  <si>
    <t>323</t>
  </si>
  <si>
    <t>862</t>
  </si>
  <si>
    <t>850</t>
  </si>
  <si>
    <t>703</t>
  </si>
  <si>
    <t>13:12</t>
  </si>
  <si>
    <t>108</t>
  </si>
  <si>
    <t>317</t>
  </si>
  <si>
    <t>736</t>
  </si>
  <si>
    <t>330</t>
  </si>
  <si>
    <t>735</t>
  </si>
  <si>
    <t>128</t>
  </si>
  <si>
    <t>117</t>
  </si>
  <si>
    <t>232</t>
  </si>
  <si>
    <t>502</t>
  </si>
  <si>
    <t>503</t>
  </si>
  <si>
    <t>13:04</t>
  </si>
  <si>
    <t>40</t>
  </si>
  <si>
    <t>118</t>
  </si>
  <si>
    <t>702</t>
  </si>
  <si>
    <t>13:07</t>
  </si>
  <si>
    <t>726</t>
  </si>
  <si>
    <t>519</t>
  </si>
  <si>
    <t>325</t>
  </si>
  <si>
    <t>337</t>
  </si>
  <si>
    <t>46</t>
  </si>
  <si>
    <t>303</t>
  </si>
  <si>
    <t>304</t>
  </si>
  <si>
    <t>802</t>
  </si>
  <si>
    <t>403</t>
  </si>
  <si>
    <t>504</t>
  </si>
  <si>
    <t>404</t>
  </si>
  <si>
    <t>13:28</t>
  </si>
  <si>
    <t>58</t>
  </si>
  <si>
    <t>92</t>
  </si>
  <si>
    <t>138</t>
  </si>
  <si>
    <t>842</t>
  </si>
  <si>
    <t>881</t>
  </si>
  <si>
    <t>530</t>
  </si>
  <si>
    <t>333</t>
  </si>
  <si>
    <t>59</t>
  </si>
  <si>
    <t>246</t>
  </si>
  <si>
    <t>745</t>
  </si>
  <si>
    <t>621</t>
  </si>
  <si>
    <t>247</t>
  </si>
  <si>
    <t>63</t>
  </si>
  <si>
    <t>248</t>
  </si>
  <si>
    <t>65</t>
  </si>
  <si>
    <t>66</t>
  </si>
  <si>
    <t>402</t>
  </si>
  <si>
    <t>868</t>
  </si>
  <si>
    <t>13:30</t>
  </si>
  <si>
    <t>90</t>
  </si>
  <si>
    <t>68</t>
  </si>
  <si>
    <t>866</t>
  </si>
  <si>
    <t>69</t>
  </si>
  <si>
    <t>433</t>
  </si>
  <si>
    <t>70</t>
  </si>
  <si>
    <t>243</t>
  </si>
  <si>
    <t>71</t>
  </si>
  <si>
    <t>218</t>
  </si>
  <si>
    <t>72</t>
  </si>
  <si>
    <t>443</t>
  </si>
  <si>
    <t>346</t>
  </si>
  <si>
    <t>846</t>
  </si>
  <si>
    <t>438</t>
  </si>
  <si>
    <t>13:17</t>
  </si>
  <si>
    <t>77</t>
  </si>
  <si>
    <t>835</t>
  </si>
  <si>
    <t>78</t>
  </si>
  <si>
    <t>840</t>
  </si>
  <si>
    <t>79</t>
  </si>
  <si>
    <t>847</t>
  </si>
  <si>
    <t>80</t>
  </si>
  <si>
    <t>824</t>
  </si>
  <si>
    <t>107</t>
  </si>
  <si>
    <t>339</t>
  </si>
  <si>
    <t>82</t>
  </si>
  <si>
    <t>869</t>
  </si>
  <si>
    <t>879</t>
  </si>
  <si>
    <t>810</t>
  </si>
  <si>
    <t>85</t>
  </si>
  <si>
    <t>817</t>
  </si>
  <si>
    <t>86</t>
  </si>
  <si>
    <t>870</t>
  </si>
  <si>
    <t>87</t>
  </si>
  <si>
    <t>867</t>
  </si>
  <si>
    <t>838</t>
  </si>
  <si>
    <t>818</t>
  </si>
  <si>
    <t>732</t>
  </si>
  <si>
    <t>126</t>
  </si>
  <si>
    <t>210</t>
  </si>
  <si>
    <t>450</t>
  </si>
  <si>
    <t>12:58</t>
  </si>
  <si>
    <t>94</t>
  </si>
  <si>
    <t>249</t>
  </si>
  <si>
    <t>95</t>
  </si>
  <si>
    <t>427</t>
  </si>
  <si>
    <t>96</t>
  </si>
  <si>
    <t>422</t>
  </si>
  <si>
    <t>97</t>
  </si>
  <si>
    <t>738</t>
  </si>
  <si>
    <t>98</t>
  </si>
  <si>
    <t>717</t>
  </si>
  <si>
    <t>99</t>
  </si>
  <si>
    <t>815</t>
  </si>
  <si>
    <t>101</t>
  </si>
  <si>
    <t>811</t>
  </si>
  <si>
    <t>102</t>
  </si>
  <si>
    <t>872</t>
  </si>
  <si>
    <t>856</t>
  </si>
  <si>
    <t>13:15</t>
  </si>
  <si>
    <t>104</t>
  </si>
  <si>
    <t>610</t>
  </si>
  <si>
    <t>612</t>
  </si>
  <si>
    <t>106</t>
  </si>
  <si>
    <t>602</t>
  </si>
  <si>
    <t>12:57</t>
  </si>
  <si>
    <t>448</t>
  </si>
  <si>
    <t>435</t>
  </si>
  <si>
    <t>737</t>
  </si>
  <si>
    <t>826</t>
  </si>
  <si>
    <t>845</t>
  </si>
  <si>
    <t>123</t>
  </si>
  <si>
    <t>338</t>
  </si>
  <si>
    <t>883</t>
  </si>
  <si>
    <t>13:52</t>
  </si>
  <si>
    <t>115</t>
  </si>
  <si>
    <t>878</t>
  </si>
  <si>
    <t>803</t>
  </si>
  <si>
    <t>347</t>
  </si>
  <si>
    <t>865</t>
  </si>
  <si>
    <t>119</t>
  </si>
  <si>
    <t>710</t>
  </si>
  <si>
    <t>120</t>
  </si>
  <si>
    <t>525</t>
  </si>
  <si>
    <t>121</t>
  </si>
  <si>
    <t>214</t>
  </si>
  <si>
    <t>122</t>
  </si>
  <si>
    <t>312</t>
  </si>
  <si>
    <t>250</t>
  </si>
  <si>
    <t>124</t>
  </si>
  <si>
    <t>727</t>
  </si>
  <si>
    <t>125</t>
  </si>
  <si>
    <t>848</t>
  </si>
  <si>
    <t>127</t>
  </si>
  <si>
    <t>334</t>
  </si>
  <si>
    <t>225</t>
  </si>
  <si>
    <t>746</t>
  </si>
  <si>
    <t>130</t>
  </si>
  <si>
    <t>874</t>
  </si>
  <si>
    <t>131</t>
  </si>
  <si>
    <t>836</t>
  </si>
  <si>
    <t>819</t>
  </si>
  <si>
    <t>133</t>
  </si>
  <si>
    <t>251</t>
  </si>
  <si>
    <t>13:51</t>
  </si>
  <si>
    <t>134</t>
  </si>
  <si>
    <t>739</t>
  </si>
  <si>
    <t>135</t>
  </si>
  <si>
    <t>350</t>
  </si>
  <si>
    <t>348</t>
  </si>
  <si>
    <t>825</t>
  </si>
  <si>
    <t>889</t>
  </si>
  <si>
    <t>859</t>
  </si>
  <si>
    <t>141</t>
  </si>
  <si>
    <t>142</t>
  </si>
  <si>
    <t>253</t>
  </si>
  <si>
    <t>143</t>
  </si>
  <si>
    <t>719</t>
  </si>
  <si>
    <t>611</t>
  </si>
  <si>
    <t>145</t>
  </si>
  <si>
    <t>146</t>
  </si>
  <si>
    <t>229</t>
  </si>
  <si>
    <t>147</t>
  </si>
  <si>
    <t>891</t>
  </si>
  <si>
    <t>148</t>
  </si>
  <si>
    <t>892</t>
  </si>
  <si>
    <t>351</t>
  </si>
  <si>
    <t>254</t>
  </si>
  <si>
    <t>151</t>
  </si>
  <si>
    <t>236</t>
  </si>
  <si>
    <t>152</t>
  </si>
  <si>
    <t>255</t>
  </si>
  <si>
    <t>153</t>
  </si>
  <si>
    <t>211</t>
  </si>
  <si>
    <t>154</t>
  </si>
  <si>
    <t>716</t>
  </si>
  <si>
    <t>155</t>
  </si>
  <si>
    <t>893</t>
  </si>
  <si>
    <t>156</t>
  </si>
  <si>
    <t>157</t>
  </si>
  <si>
    <t>833</t>
  </si>
  <si>
    <t>158</t>
  </si>
  <si>
    <t>159</t>
  </si>
  <si>
    <t>234</t>
  </si>
  <si>
    <t>13:22</t>
  </si>
  <si>
    <t>160</t>
  </si>
  <si>
    <t>161</t>
  </si>
  <si>
    <t>855</t>
  </si>
  <si>
    <t>162</t>
  </si>
  <si>
    <t>888</t>
  </si>
  <si>
    <t>163</t>
  </si>
  <si>
    <t>164</t>
  </si>
  <si>
    <t>165</t>
  </si>
  <si>
    <t>446</t>
  </si>
  <si>
    <t>166</t>
  </si>
  <si>
    <t>533</t>
  </si>
  <si>
    <t>167</t>
  </si>
  <si>
    <t>620</t>
  </si>
  <si>
    <t>13:43</t>
  </si>
  <si>
    <t>168</t>
  </si>
  <si>
    <t>849</t>
  </si>
  <si>
    <t>169</t>
  </si>
  <si>
    <t>614</t>
  </si>
  <si>
    <t>13:25</t>
  </si>
  <si>
    <t>170</t>
  </si>
  <si>
    <t>171</t>
  </si>
  <si>
    <t>13:14</t>
  </si>
  <si>
    <t>172</t>
  </si>
  <si>
    <t>231</t>
  </si>
  <si>
    <t>13:53</t>
  </si>
  <si>
    <t>Search for IDs:</t>
  </si>
  <si>
    <t>FP ID</t>
  </si>
  <si>
    <t>DB ID</t>
  </si>
  <si>
    <t>e</t>
  </si>
  <si>
    <t>y</t>
  </si>
  <si>
    <t>;</t>
  </si>
  <si>
    <t>f</t>
  </si>
  <si>
    <t>a</t>
  </si>
  <si>
    <t>b</t>
  </si>
  <si>
    <t>c</t>
  </si>
  <si>
    <t>d</t>
  </si>
  <si>
    <t>g</t>
  </si>
  <si>
    <t>h</t>
  </si>
  <si>
    <t>i</t>
  </si>
  <si>
    <t>j</t>
  </si>
  <si>
    <t>q</t>
  </si>
  <si>
    <t>w</t>
  </si>
  <si>
    <t>r</t>
  </si>
  <si>
    <t>t</t>
  </si>
  <si>
    <t>u</t>
  </si>
  <si>
    <t>o</t>
  </si>
  <si>
    <t>p</t>
  </si>
  <si>
    <t>[</t>
  </si>
  <si>
    <t>]</t>
  </si>
  <si>
    <t>s</t>
  </si>
  <si>
    <t>k</t>
  </si>
  <si>
    <t>l</t>
  </si>
  <si>
    <t>z</t>
  </si>
  <si>
    <t>x</t>
  </si>
  <si>
    <t>v</t>
  </si>
  <si>
    <t>n</t>
  </si>
  <si>
    <t>m</t>
  </si>
  <si>
    <t>Att log count:</t>
  </si>
  <si>
    <t>Att. Log date</t>
  </si>
  <si>
    <t xml:space="preserve">2023-12-08 ~ 2023-12-08
</t>
  </si>
  <si>
    <t>2023-12-08</t>
  </si>
  <si>
    <t>14:32</t>
  </si>
  <si>
    <t>13:09</t>
  </si>
  <si>
    <t>13:00</t>
  </si>
  <si>
    <t>13:26</t>
  </si>
  <si>
    <t>13:08</t>
  </si>
  <si>
    <t>13:48</t>
  </si>
  <si>
    <t>13:41</t>
  </si>
  <si>
    <t>13:50</t>
  </si>
  <si>
    <t>13:47</t>
  </si>
  <si>
    <t>13:24</t>
  </si>
  <si>
    <t>13:11</t>
  </si>
  <si>
    <t>13:46</t>
  </si>
  <si>
    <t>13:49</t>
  </si>
  <si>
    <t>13:57</t>
  </si>
  <si>
    <t>13:23</t>
  </si>
  <si>
    <t>14:26</t>
  </si>
  <si>
    <t>294</t>
  </si>
  <si>
    <t>295</t>
  </si>
  <si>
    <t>13:21</t>
  </si>
  <si>
    <t>13:58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</si>
</sst>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ECECEC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30">
    <xf numFmtId="0" fontId="0" fillId="0" borderId="0" xfId="0"/>
    <xf numFmtId="0" fontId="0" fillId="0" borderId="2" xfId="0" applyBorder="1"/>
    <xf numFmtId="0" fontId="0" fillId="0" borderId="1" xfId="0" applyBorder="1"/>
    <xf numFmtId="14" fontId="0" fillId="0" borderId="0" xfId="0" applyNumberFormat="1"/>
    <xf numFmtId="49" fontId="0" fillId="0" borderId="0" xfId="0" applyNumberFormat="1"/>
    <xf numFmtId="0" fontId="0" fillId="0" borderId="0" xfId="0" applyAlignment="1">
      <alignment horizontal="center"/>
    </xf>
    <xf numFmtId="0" fontId="2" fillId="5" borderId="3" xfId="1" applyFont="1" applyFill="1" applyBorder="1" applyAlignment="1">
      <alignment horizontal="center"/>
    </xf>
    <xf numFmtId="0" fontId="2" fillId="0" borderId="4" xfId="1" applyFont="1" applyBorder="1" applyAlignment="1">
      <alignment horizontal="right" wrapText="1"/>
    </xf>
    <xf numFmtId="0" fontId="2" fillId="0" borderId="4" xfId="1" applyFont="1" applyBorder="1" applyAlignment="1">
      <alignment wrapText="1"/>
    </xf>
    <xf numFmtId="14" fontId="2" fillId="0" borderId="4" xfId="1" applyNumberFormat="1" applyFont="1" applyBorder="1" applyAlignment="1">
      <alignment horizontal="right" wrapText="1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/>
    </xf>
    <xf numFmtId="2" fontId="0" fillId="0" borderId="0" xfId="0" applyNumberFormat="1"/>
    <xf numFmtId="0" fontId="4" fillId="0" borderId="0" xfId="0" applyFont="1" applyAlignment="1">
      <alignment horizontal="center"/>
    </xf>
    <xf numFmtId="0" fontId="7" fillId="0" borderId="0" xfId="0" applyFont="1"/>
    <xf numFmtId="0" fontId="8" fillId="0" borderId="0" xfId="0" applyFont="1"/>
    <xf numFmtId="0" fontId="5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0" fillId="7" borderId="5" xfId="0" applyFill="1" applyBorder="1" applyAlignment="1">
      <alignment horizontal="center"/>
    </xf>
    <xf numFmtId="0" fontId="8" fillId="0" borderId="0" xfId="0" applyFont="1" applyAlignment="1">
      <alignment horizontal="left"/>
    </xf>
    <xf numFmtId="14" fontId="0" fillId="8" borderId="6" xfId="0" applyNumberFormat="1" applyFill="1" applyBorder="1" applyAlignment="1">
      <alignment horizontal="center"/>
    </xf>
    <xf numFmtId="0" fontId="6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Normal" xfId="0" builtinId="0"/>
    <cellStyle name="Normal_Details" xfId="1" xr:uid="{A9448F88-692D-4228-8A78-A3B76B553DC9}"/>
  </cellStyles>
  <dxfs count="51">
    <dxf>
      <numFmt numFmtId="2" formatCode="0.00"/>
    </dxf>
    <dxf>
      <font>
        <color theme="1"/>
      </font>
      <fill>
        <patternFill>
          <bgColor theme="7" tint="0.3999450666829432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numFmt numFmtId="27" formatCode="m/d/yyyy\ h:mm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9" formatCode="m/d/yyyy"/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CEC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161925</xdr:rowOff>
        </xdr:from>
        <xdr:to>
          <xdr:col>6</xdr:col>
          <xdr:colOff>0</xdr:colOff>
          <xdr:row>2</xdr:row>
          <xdr:rowOff>171450</xdr:rowOff>
        </xdr:to>
        <xdr:sp macro="" textlink="">
          <xdr:nvSpPr>
            <xdr:cNvPr id="1026" name="TextBox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rep details.od" refreshOnLoad="1" connectionId="1" xr16:uid="{394EFE74-20D0-476E-B1F2-F69FD3B9190C}" autoFormatId="16" applyNumberFormats="0" applyBorderFormats="0" applyFontFormats="0" applyPatternFormats="0" applyAlignmentFormats="0" applyWidthHeightFormats="0">
  <queryTableRefresh nextId="22">
    <queryTableFields count="21">
      <queryTableField id="1" name="ID" tableColumnId="1"/>
      <queryTableField id="2" name="fname" tableColumnId="2"/>
      <queryTableField id="3" name="stage" tableColumnId="3"/>
      <queryTableField id="4" name="bdate" tableColumnId="4"/>
      <queryTableField id="5" name="class_name" tableColumnId="5"/>
      <queryTableField id="6" name="school_job" tableColumnId="6"/>
      <queryTableField id="7" name="deacon" tableColumnId="7"/>
      <queryTableField id="8" name="tel1" tableColumnId="8"/>
      <queryTableField id="9" name="tel2" tableColumnId="9"/>
      <queryTableField id="10" name="tel3" tableColumnId="10"/>
      <queryTableField id="11" name="tel4" tableColumnId="11"/>
      <queryTableField id="12" name="con_father" tableColumnId="12"/>
      <queryTableField id="13" name="address1" tableColumnId="13"/>
      <queryTableField id="14" name="address2" tableColumnId="14"/>
      <queryTableField id="15" name="address3" tableColumnId="15"/>
      <queryTableField id="16" name="address4" tableColumnId="16"/>
      <queryTableField id="17" name="address5" tableColumnId="17"/>
      <queryTableField id="18" name="address6" tableColumnId="18"/>
      <queryTableField id="19" name="address7" tableColumnId="19"/>
      <queryTableField id="20" name="God_brothers" tableColumnId="20"/>
      <queryTableField id="21" name="notes" tableColumnId="2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2" xr16:uid="{D90612EA-2284-4433-8622-6B49BD39DE2A}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att_date" tableColumnId="2"/>
      <queryTableField id="3" name="stage" tableColumnId="3"/>
      <queryTableField id="4" name="class_name" tableColumnId="4"/>
      <queryTableField id="5" name="att_time" tableColumnId="5"/>
      <queryTableField id="6" name="late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3" xr16:uid="{1343BA36-5CA4-4171-8ED8-278A4647BB75}" autoFormatId="16" applyNumberFormats="0" applyBorderFormats="0" applyFontFormats="0" applyPatternFormats="0" applyAlignmentFormats="0" applyWidthHeightFormats="0">
  <queryTableRefresh nextId="14">
    <queryTableFields count="1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13936DB-C3E2-4EC8-B8A8-A543E3363FB4}" name="Table2" displayName="Table2" ref="R1:S9" totalsRowShown="0">
  <autoFilter ref="R1:S9" xr:uid="{F13936DB-C3E2-4EC8-B8A8-A543E3363FB4}"/>
  <tableColumns count="2">
    <tableColumn id="1" xr3:uid="{01718DE9-3CC1-4468-BFDF-DCEDEA9D10B4}" name="ID start"/>
    <tableColumn id="2" xr3:uid="{CD509DF3-75F0-453D-90A8-30EE84D3B799}" name="Clas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D65862-ECFE-4E0E-A151-32491FD40071}" name="Table1" displayName="Table1" ref="A1:B5" totalsRowShown="0">
  <autoFilter ref="A1:B5" xr:uid="{CAD65862-ECFE-4E0E-A151-32491FD40071}"/>
  <tableColumns count="2">
    <tableColumn id="1" xr3:uid="{EFD1968A-C9A2-4B5F-A20C-F62678451053}" name="Form ID" dataDxfId="50"/>
    <tableColumn id="2" xr3:uid="{5A095F71-EABB-4716-9997-1BE86261BC70}" name="Class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4003BE7-D8A4-4960-BF61-A16522CBFF14}" name="Table_prep_details.od" displayName="Table_prep_details.od" ref="A1:U324" tableType="queryTable" totalsRowShown="0">
  <autoFilter ref="A1:U324" xr:uid="{A4003BE7-D8A4-4960-BF61-A16522CBFF14}"/>
  <sortState xmlns:xlrd2="http://schemas.microsoft.com/office/spreadsheetml/2017/richdata2" ref="A2:U324">
    <sortCondition ref="A1:A324"/>
  </sortState>
  <tableColumns count="21">
    <tableColumn id="1" xr3:uid="{F64B0522-3C0D-40EA-A4C4-720D879713DC}" uniqueName="1" name="ID" queryTableFieldId="1" dataDxfId="29" dataCellStyle="Normal_Details"/>
    <tableColumn id="2" xr3:uid="{AAFCC9B9-A885-4476-AC26-4BA3742E4FAC}" uniqueName="2" name="fname" queryTableFieldId="2" dataDxfId="28" dataCellStyle="Normal_Details"/>
    <tableColumn id="3" xr3:uid="{022C9CE2-C176-48BE-B32F-543E927D7F96}" uniqueName="3" name="stage" queryTableFieldId="3" dataDxfId="27" dataCellStyle="Normal_Details"/>
    <tableColumn id="4" xr3:uid="{189FB5C6-8139-4A6C-A8C4-E79705A2E7A8}" uniqueName="4" name="bdate" queryTableFieldId="4" dataDxfId="26" dataCellStyle="Normal_Details"/>
    <tableColumn id="5" xr3:uid="{FA3A267B-411C-4A61-97B4-F5F3ECA93389}" uniqueName="5" name="class_name" queryTableFieldId="5" dataDxfId="25" dataCellStyle="Normal_Details"/>
    <tableColumn id="6" xr3:uid="{C28BAEFC-6C71-4202-B20E-26FA38E681D1}" uniqueName="6" name="school_job" queryTableFieldId="6" dataDxfId="24" dataCellStyle="Normal_Details"/>
    <tableColumn id="7" xr3:uid="{5FF5A62D-CFB5-4865-861C-83A4C19B504C}" uniqueName="7" name="deacon" queryTableFieldId="7" dataDxfId="23" dataCellStyle="Normal_Details"/>
    <tableColumn id="8" xr3:uid="{67DE0183-8ABE-4B30-9582-2DBA2207EE4A}" uniqueName="8" name="tel1" queryTableFieldId="8" dataDxfId="22" dataCellStyle="Normal_Details"/>
    <tableColumn id="9" xr3:uid="{C57F4FD8-71DE-44E4-AF94-63D2ACD6231D}" uniqueName="9" name="tel2" queryTableFieldId="9" dataDxfId="21" dataCellStyle="Normal_Details"/>
    <tableColumn id="10" xr3:uid="{D2A5CBA7-A794-4E58-9848-C4EF3AF12654}" uniqueName="10" name="tel3" queryTableFieldId="10" dataDxfId="20" dataCellStyle="Normal_Details"/>
    <tableColumn id="11" xr3:uid="{9FDB7D15-87D6-4577-A411-9D4FE7304AFF}" uniqueName="11" name="tel4" queryTableFieldId="11" dataDxfId="19" dataCellStyle="Normal_Details"/>
    <tableColumn id="12" xr3:uid="{A8EC6A62-92F6-4568-9BE7-A1E8C995E2F3}" uniqueName="12" name="con_father" queryTableFieldId="12" dataDxfId="18" dataCellStyle="Normal_Details"/>
    <tableColumn id="13" xr3:uid="{A5DE6362-2F0C-4F29-BF3B-BFED517BBEDF}" uniqueName="13" name="address1" queryTableFieldId="13" dataDxfId="17" dataCellStyle="Normal_Details"/>
    <tableColumn id="14" xr3:uid="{9791BE57-E8C3-4DE5-A0BE-992FFBF2CBE1}" uniqueName="14" name="address2" queryTableFieldId="14" dataDxfId="16" dataCellStyle="Normal_Details"/>
    <tableColumn id="15" xr3:uid="{E5A35955-633D-448A-8158-F01D2CA6DC69}" uniqueName="15" name="address3" queryTableFieldId="15" dataDxfId="15" dataCellStyle="Normal_Details"/>
    <tableColumn id="16" xr3:uid="{9D6B0140-CFC1-474C-B709-24ADC0EF6292}" uniqueName="16" name="address4" queryTableFieldId="16" dataDxfId="14" dataCellStyle="Normal_Details"/>
    <tableColumn id="17" xr3:uid="{4A64D7A4-85A1-459D-BC55-80B84C7EF8AF}" uniqueName="17" name="address5" queryTableFieldId="17" dataDxfId="13" dataCellStyle="Normal_Details"/>
    <tableColumn id="18" xr3:uid="{39A74773-B2D6-4346-B7D2-82F4B0B3117B}" uniqueName="18" name="address6" queryTableFieldId="18" dataDxfId="12" dataCellStyle="Normal_Details"/>
    <tableColumn id="19" xr3:uid="{6B251FE3-F8E3-41F8-B1D6-C5500AB643A4}" uniqueName="19" name="address7" queryTableFieldId="19" dataDxfId="11" dataCellStyle="Normal_Details"/>
    <tableColumn id="20" xr3:uid="{05304909-C7FD-4DDB-8DD4-A301F61F968B}" uniqueName="20" name="God_brothers" queryTableFieldId="20" dataDxfId="10" dataCellStyle="Normal_Details"/>
    <tableColumn id="21" xr3:uid="{186344C3-1283-47A2-B6BE-D8D06043AB39}" uniqueName="21" name="notes" queryTableFieldId="21" dataDxfId="9" dataCellStyle="Normal_Detail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B87C059-8DD4-49A9-B4EA-717D508CA25D}" name="attendance__3" displayName="attendance__3" ref="A1:K724" tableType="queryTable" totalsRowShown="0">
  <autoFilter ref="A1:K724" xr:uid="{9B87C059-8DD4-49A9-B4EA-717D508CA25D}"/>
  <tableColumns count="11">
    <tableColumn id="1" xr3:uid="{697D4C41-770A-4816-8311-160DA6BE08FD}" uniqueName="1" name="ID" queryTableFieldId="1"/>
    <tableColumn id="2" xr3:uid="{B9E9BBE0-2D8B-454D-AF9C-E8D7D446BE0C}" uniqueName="2" name="att_date" queryTableFieldId="2" dataDxfId="8"/>
    <tableColumn id="3" xr3:uid="{E8545564-9566-4F74-93FC-FDCFE2E223DC}" uniqueName="3" name="stage" queryTableFieldId="3" dataDxfId="49"/>
    <tableColumn id="4" xr3:uid="{02E7FD9E-B507-422F-8F4C-AAD5EAD378D5}" uniqueName="4" name="class_name" queryTableFieldId="4" dataDxfId="48"/>
    <tableColumn id="5" xr3:uid="{2BDABED7-5D80-4B8D-977F-0EFA621B3B77}" uniqueName="5" name="att_time" queryTableFieldId="5" dataDxfId="7"/>
    <tableColumn id="6" xr3:uid="{A0AD57BE-A8D0-4649-A229-C50108E82426}" uniqueName="6" name="late" queryTableFieldId="6" dataDxfId="47"/>
    <tableColumn id="7" xr3:uid="{E7A51D7D-B683-41F2-9413-B82AB4404230}" uniqueName="7" name="F7" queryTableFieldId="7" dataDxfId="46"/>
    <tableColumn id="8" xr3:uid="{AF726075-E05C-4A19-A274-BFDCAAB9E9D9}" uniqueName="8" name="F8" queryTableFieldId="8" dataDxfId="45"/>
    <tableColumn id="9" xr3:uid="{5F2A5FBE-49B4-494F-832D-E6F0A88F1744}" uniqueName="9" name="F9" queryTableFieldId="9" dataDxfId="44"/>
    <tableColumn id="10" xr3:uid="{4F494EDA-6BB5-418E-B740-A55F1C6469CD}" uniqueName="10" name="F10" queryTableFieldId="10" dataDxfId="43"/>
    <tableColumn id="11" xr3:uid="{1516AA53-3CA9-46A6-9969-7D80DD01EDA2}" uniqueName="11" name="F11" queryTableFieldId="11" dataDxfId="4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4C4756-7665-477E-847A-EDD827DCB908}" name="Exception_Stat" displayName="Exception_Stat" ref="A1:M179" tableType="queryTable" totalsRowShown="0">
  <autoFilter ref="A1:M179" xr:uid="{824C4756-7665-477E-847A-EDD827DCB908}"/>
  <tableColumns count="13">
    <tableColumn id="1" xr3:uid="{90E1BF56-A9CA-487B-AD27-D7844855DBCA}" uniqueName="1" name="Column1" queryTableFieldId="1" dataDxfId="41"/>
    <tableColumn id="2" xr3:uid="{B7EDB792-4B93-49F9-B0AA-6DAB43CB94F4}" uniqueName="2" name="Column2" queryTableFieldId="2" dataDxfId="0"/>
    <tableColumn id="3" xr3:uid="{4E7C6D6E-0A6F-48B6-A8E4-C21ABD3E05C6}" uniqueName="3" name="Column3" queryTableFieldId="3" dataDxfId="40"/>
    <tableColumn id="4" xr3:uid="{B6D033A9-B1E9-47FF-B3D1-D838D75FA325}" uniqueName="4" name="Column4" queryTableFieldId="4" dataDxfId="39"/>
    <tableColumn id="5" xr3:uid="{40BEC77C-6A12-4BAD-AC09-8852A86BFC2B}" uniqueName="5" name="Column5" queryTableFieldId="5" dataDxfId="38"/>
    <tableColumn id="6" xr3:uid="{5D86EA43-F2F2-424B-A543-F52F78F16F3D}" uniqueName="6" name="Column6" queryTableFieldId="6" dataDxfId="37"/>
    <tableColumn id="7" xr3:uid="{C35F2B4B-D032-4B95-87A1-1FD52F425BB9}" uniqueName="7" name="Column7" queryTableFieldId="7" dataDxfId="36"/>
    <tableColumn id="8" xr3:uid="{0896FB15-6A79-4386-83EE-0215314C0BBF}" uniqueName="8" name="Column8" queryTableFieldId="8" dataDxfId="35"/>
    <tableColumn id="9" xr3:uid="{9101F73E-E3F0-4243-87CF-F393B9AD8C9A}" uniqueName="9" name="Column9" queryTableFieldId="9" dataDxfId="34"/>
    <tableColumn id="10" xr3:uid="{9A2050F2-BD7C-4353-B62C-902C59DB5A94}" uniqueName="10" name="Column10" queryTableFieldId="10" dataDxfId="33"/>
    <tableColumn id="11" xr3:uid="{36773CE3-C3BC-4546-BD73-1BED74ED7725}" uniqueName="11" name="Column11" queryTableFieldId="11" dataDxfId="32"/>
    <tableColumn id="12" xr3:uid="{11D63238-177E-42B2-9D00-EE9C4EE06AD6}" uniqueName="12" name="Column12" queryTableFieldId="12" dataDxfId="31"/>
    <tableColumn id="13" xr3:uid="{03F1DDAB-7FD1-4707-8AC9-96D4C710F672}" uniqueName="13" name="Column13" queryTableFieldId="13" dataDxfId="3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0.39997558519241921"/>
  </sheetPr>
  <dimension ref="A1:S505"/>
  <sheetViews>
    <sheetView zoomScale="175" zoomScaleNormal="205" workbookViewId="0">
      <selection activeCell="D4" sqref="D4"/>
    </sheetView>
  </sheetViews>
  <sheetFormatPr defaultRowHeight="15" x14ac:dyDescent="0.25"/>
  <cols>
    <col min="1" max="1" width="9.5703125" style="5" customWidth="1"/>
    <col min="2" max="2" width="14.42578125" customWidth="1"/>
    <col min="3" max="3" width="7" style="5" customWidth="1"/>
    <col min="4" max="4" width="12.28515625" style="5" customWidth="1"/>
    <col min="5" max="5" width="15.5703125" style="5" customWidth="1"/>
    <col min="6" max="7" width="23.7109375" style="5" customWidth="1"/>
    <col min="10" max="10" width="8.85546875" style="16"/>
    <col min="18" max="18" width="10.140625" customWidth="1"/>
    <col min="19" max="19" width="15.7109375" customWidth="1"/>
  </cols>
  <sheetData>
    <row r="1" spans="1:19" ht="14.45" customHeight="1" x14ac:dyDescent="0.25">
      <c r="A1" s="5" t="s">
        <v>1463</v>
      </c>
      <c r="B1" s="14" t="s">
        <v>2</v>
      </c>
      <c r="C1" s="5" t="s">
        <v>1</v>
      </c>
      <c r="D1" s="22" t="s">
        <v>1781</v>
      </c>
      <c r="F1" s="20" t="s">
        <v>1780</v>
      </c>
      <c r="G1" s="21" cm="1">
        <f t="array" aca="1" ref="G1" ca="1">COUNTA(_xlfn._xlws.FILTER(Exception_Stat[Column3],(Exception_Stat[Column5]&lt;&gt;"")+(Exception_Stat[Column6]&lt;&gt;"")))+COUNT(_xlfn._xlws.FILTER(attendance__3[att_date],attendance__3[att_date]=(TODAY()),""))</f>
        <v>68</v>
      </c>
      <c r="H1" s="18" t="s">
        <v>1213</v>
      </c>
      <c r="I1" s="19" t="s">
        <v>1763</v>
      </c>
      <c r="K1" s="16"/>
      <c r="R1" t="s">
        <v>3</v>
      </c>
      <c r="S1" t="s">
        <v>2</v>
      </c>
    </row>
    <row r="2" spans="1:19" ht="13.9" customHeight="1" x14ac:dyDescent="0.25">
      <c r="A2" s="5">
        <v>110</v>
      </c>
      <c r="B2" t="s">
        <v>6</v>
      </c>
      <c r="C2" s="10" cm="1">
        <f t="array" aca="1" ref="C2" ca="1">_xlfn.XLOOKUP(Table1[[#This Row],[Class]],Details_Filtered!$Y$1:$Y$8,IF((Table1[[#This Row],[Form ID]]-FLOOR(Table1[[#This Row],[Form ID]],100))&lt;10,Details_Filtered!$AA$1:$AA$8,Details_Filtered!$Z$1:$Z$8))+1</f>
        <v>352</v>
      </c>
      <c r="D2" s="24">
        <f>DATEVALUE('Att log'!D18)</f>
        <v>45268</v>
      </c>
      <c r="E2" s="25" t="s">
        <v>1748</v>
      </c>
      <c r="F2" s="26" t="s">
        <v>37</v>
      </c>
      <c r="G2" s="29" t="str" cm="1">
        <f t="array" ref="G2">IF(OR(ISNUMBER(SEARCH(I1:I29,F2))),"انت بتكتب انجليزي","")</f>
        <v/>
      </c>
      <c r="H2" s="18">
        <f>IF((Table1[[#This Row],[Form ID]]-FLOOR(Table1[[#This Row],[Form ID]],100))&lt;10,10,100)</f>
        <v>100</v>
      </c>
      <c r="I2" s="19" t="s">
        <v>1764</v>
      </c>
      <c r="R2">
        <v>100</v>
      </c>
      <c r="S2" t="s">
        <v>4</v>
      </c>
    </row>
    <row r="3" spans="1:19" x14ac:dyDescent="0.25">
      <c r="A3" s="5">
        <v>111</v>
      </c>
      <c r="B3" t="s">
        <v>11</v>
      </c>
      <c r="C3" s="10" cm="1">
        <f t="array" aca="1" ref="C3" ca="1">_xlfn.XLOOKUP(Table1[[#This Row],[Class]],Details_Filtered!$Y$1:$Y$8,IF((Table1[[#This Row],[Form ID]]-FLOOR(Table1[[#This Row],[Form ID]],100))&lt;10,Details_Filtered!$AA$1:$AA$8,Details_Filtered!$Z$1:$Z$8))+1+IF(AND(B2=Table1[[#This Row],[Class]],H2=H3),1,0)</f>
        <v>895</v>
      </c>
      <c r="E3" s="27"/>
      <c r="F3" s="28"/>
      <c r="G3" s="29"/>
      <c r="H3" s="18">
        <f>IF((Table1[[#This Row],[Form ID]]-FLOOR(Table1[[#This Row],[Form ID]],100))&lt;10,10,100)</f>
        <v>100</v>
      </c>
      <c r="I3" s="19" t="s">
        <v>1751</v>
      </c>
      <c r="R3">
        <v>200</v>
      </c>
      <c r="S3" t="s">
        <v>5</v>
      </c>
    </row>
    <row r="4" spans="1:19" x14ac:dyDescent="0.25">
      <c r="A4" s="5">
        <v>112</v>
      </c>
      <c r="B4" t="s">
        <v>6</v>
      </c>
      <c r="C4" s="11" cm="1">
        <f t="array" aca="1" ref="C4" ca="1">IFERROR(_xlfn.XLOOKUP(Table1[[#This Row],[Class]],Details_Filtered!$Y$1:$Y$8,IF((Table1[[#This Row],[Form ID]]-FLOOR(Table1[[#This Row],[Form ID]],100))&lt;10,Details_Filtered!$AA$1:$AA$8,Details_Filtered!$Z$1:$Z$8))+1+COUNTA(_xlfn._xlws.FILTER($B$2:B3,($B$2:B3=Table1[[#This Row],[Class]])*($H$2:H3=H4),""))-IF(COUNTA(IF(_xlfn._xlws.FILTER($B$2:B3,($B$2:B3=Table1[[#This Row],[Class]])*($H$2:H3=H4),"")="",1,0))&gt;1,0,IF(_xlfn._xlws.FILTER($B$2:B3,($B$2:B3=Table1[[#This Row],[Class]])*($H$2:H3=H4),"")="",1,0)),"")</f>
        <v>353</v>
      </c>
      <c r="E4" s="15" t="s">
        <v>1749</v>
      </c>
      <c r="F4" s="15" t="s">
        <v>1750</v>
      </c>
      <c r="G4" s="15" t="s">
        <v>1478</v>
      </c>
      <c r="H4" s="18">
        <f>IFERROR(IF((Table1[[#This Row],[Form ID]]-FLOOR(Table1[[#This Row],[Form ID]],100))&lt;10,10,100),"")</f>
        <v>100</v>
      </c>
      <c r="I4" s="23" t="s">
        <v>1765</v>
      </c>
      <c r="R4">
        <v>300</v>
      </c>
      <c r="S4" t="s">
        <v>6</v>
      </c>
    </row>
    <row r="5" spans="1:19" x14ac:dyDescent="0.25">
      <c r="A5" s="5">
        <v>113</v>
      </c>
      <c r="B5" t="s">
        <v>6</v>
      </c>
      <c r="C5" s="12" cm="1">
        <f t="array" aca="1" ref="C5" ca="1">IFERROR(_xlfn.XLOOKUP(Table1[[#This Row],[Class]],Details_Filtered!$Y$1:$Y$8,IF((Table1[[#This Row],[Form ID]]-FLOOR(Table1[[#This Row],[Form ID]],100))&lt;10,Details_Filtered!$AA$1:$AA$8,Details_Filtered!$Z$1:$Z$8))+1+COUNTA(_xlfn._xlws.FILTER($B$2:B4,($B$2:B4=Table1[[#This Row],[Class]])*($H$2:H4=H5),""))-IF(COUNTA(IF(_xlfn._xlws.FILTER($B$2:B4,($B$2:B4=Table1[[#This Row],[Class]])*($H$2:H4=H5),"")="",1,0))&gt;1,0,IF(_xlfn._xlws.FILTER($B$2:B4,($B$2:B4=Table1[[#This Row],[Class]])*($H$2:H4=H5),"")="",1,0)),"")</f>
        <v>354</v>
      </c>
      <c r="E5" s="17" t="str">
        <f>IF(F5&lt;&gt;"",_xlfn.XLOOKUP(TEXT(F5,"#"),'Att log'!$B$6:$B$501,'Att log'!$A$6:$A$501,"X"),"")</f>
        <v/>
      </c>
      <c r="F5" s="17" t="str" cm="1">
        <f t="array" ref="F5">IF((F2&lt;&gt;"")*(G2&lt;&gt;"انت بتكتب انجليزي"),_xlfn._xlws.FILTER(Table_prep_details.od[[ID]:[fname]],ISNUMBER(SEARCH($F$2,Table_prep_details.od[fname])),"مفيش"),"")</f>
        <v/>
      </c>
      <c r="H5" s="18">
        <f>IFERROR(IF((Table1[[#This Row],[Form ID]]-FLOOR(Table1[[#This Row],[Form ID]],100))&lt;10,10,100),"")</f>
        <v>100</v>
      </c>
      <c r="I5" s="19" t="s">
        <v>1766</v>
      </c>
      <c r="R5">
        <v>400</v>
      </c>
      <c r="S5" t="s">
        <v>7</v>
      </c>
    </row>
    <row r="6" spans="1:19" x14ac:dyDescent="0.25">
      <c r="C6" s="5" t="str" cm="1">
        <f t="array" ref="C6">IFERROR(_xlfn.XLOOKUP(Table1[[#This Row],[Class]],Details_Filtered!$Y$1:$Y$8,IF((Table1[[#This Row],[Form ID]]-FLOOR(Table1[[#This Row],[Form ID]],100))&lt;10,Details_Filtered!$AA$1:$AA$8,Details_Filtered!$Z$1:$Z$8))+1+COUNTA(_xlfn._xlws.FILTER($B$2:B5,($B$2:B5=Table1[[#This Row],[Class]])*($H$2:H5=H6),""))-IF(COUNTA(IF(_xlfn._xlws.FILTER($B$2:B5,($B$2:B5=Table1[[#This Row],[Class]])*($H$2:H5=H6),"")="",1,0))&gt;1,0,IF(_xlfn._xlws.FILTER($B$2:B5,($B$2:B5=Table1[[#This Row],[Class]])*($H$2:H5=H6),"")="",1,0)),"")</f>
        <v/>
      </c>
      <c r="E6" s="17" t="str">
        <f>IF(F6&lt;&gt;"",_xlfn.XLOOKUP(TEXT(F6,"#"),'Att log'!$B$6:$B$501,'Att log'!$A$6:$A$501,"X"),"")</f>
        <v/>
      </c>
      <c r="F6" s="17"/>
      <c r="H6" s="18" t="str">
        <f>IFERROR(IF((Table1[[#This Row],[Form ID]]-FLOOR(Table1[[#This Row],[Form ID]],100))&lt;10,10,100),"")</f>
        <v/>
      </c>
      <c r="I6" s="19" t="s">
        <v>1752</v>
      </c>
      <c r="R6">
        <v>500</v>
      </c>
      <c r="S6" t="s">
        <v>8</v>
      </c>
    </row>
    <row r="7" spans="1:19" x14ac:dyDescent="0.25">
      <c r="C7" s="5" t="str" cm="1">
        <f t="array" ref="C7">IFERROR(_xlfn.XLOOKUP(Table1[[#This Row],[Class]],Details_Filtered!$Y$1:$Y$8,IF((Table1[[#This Row],[Form ID]]-FLOOR(Table1[[#This Row],[Form ID]],100))&lt;10,Details_Filtered!$AA$1:$AA$8,Details_Filtered!$Z$1:$Z$8))+1+COUNTA(_xlfn._xlws.FILTER($B$2:B6,($B$2:B6=Table1[[#This Row],[Class]])*($H$2:H6=H7),""))-IF(COUNTA(IF(_xlfn._xlws.FILTER($B$2:B6,($B$2:B6=Table1[[#This Row],[Class]])*($H$2:H6=H7),"")="",1,0))&gt;1,0,IF(_xlfn._xlws.FILTER($B$2:B6,($B$2:B6=Table1[[#This Row],[Class]])*($H$2:H6=H7),"")="",1,0)),"")</f>
        <v/>
      </c>
      <c r="E7" s="17" t="str">
        <f>IF(F7&lt;&gt;"",_xlfn.XLOOKUP(TEXT(F7,"#"),'Att log'!$B$6:$B$501,'Att log'!$A$6:$A$501,"X"),"")</f>
        <v/>
      </c>
      <c r="F7" s="17"/>
      <c r="H7" s="18" t="str">
        <f>IFERROR(IF((Table1[[#This Row],[Form ID]]-FLOOR(Table1[[#This Row],[Form ID]],100))&lt;10,10,100),"")</f>
        <v/>
      </c>
      <c r="I7" s="19" t="s">
        <v>1767</v>
      </c>
      <c r="R7">
        <v>600</v>
      </c>
      <c r="S7" t="s">
        <v>9</v>
      </c>
    </row>
    <row r="8" spans="1:19" x14ac:dyDescent="0.25">
      <c r="C8" s="5" t="str" cm="1">
        <f t="array" ref="C8">IFERROR(_xlfn.XLOOKUP(Table1[[#This Row],[Class]],Details_Filtered!$Y$1:$Y$8,IF((Table1[[#This Row],[Form ID]]-FLOOR(Table1[[#This Row],[Form ID]],100))&lt;10,Details_Filtered!$AA$1:$AA$8,Details_Filtered!$Z$1:$Z$8))+1+COUNTA(_xlfn._xlws.FILTER($B$2:B7,($B$2:B7=Table1[[#This Row],[Class]])*($H$2:H7=H8),""))-IF(COUNTA(IF(_xlfn._xlws.FILTER($B$2:B7,($B$2:B7=Table1[[#This Row],[Class]])*($H$2:H7=H8),"")="",1,0))&gt;1,0,IF(_xlfn._xlws.FILTER($B$2:B7,($B$2:B7=Table1[[#This Row],[Class]])*($H$2:H7=H8),"")="",1,0)),"")</f>
        <v/>
      </c>
      <c r="E8" s="17" t="str">
        <f>IF(F8&lt;&gt;"",_xlfn.XLOOKUP(TEXT(F8,"#"),'Att log'!$B$6:$B$501,'Att log'!$A$6:$A$501,"X"),"")</f>
        <v/>
      </c>
      <c r="F8" s="17"/>
      <c r="H8" s="18" t="str">
        <f>IFERROR(IF((Table1[[#This Row],[Form ID]]-FLOOR(Table1[[#This Row],[Form ID]],100))&lt;10,10,100),"")</f>
        <v/>
      </c>
      <c r="I8" s="19" t="s">
        <v>1761</v>
      </c>
      <c r="R8">
        <v>700</v>
      </c>
      <c r="S8" t="s">
        <v>10</v>
      </c>
    </row>
    <row r="9" spans="1:19" x14ac:dyDescent="0.25">
      <c r="C9" s="5" t="str" cm="1">
        <f t="array" ref="C9">IFERROR(_xlfn.XLOOKUP(Table1[[#This Row],[Class]],Details_Filtered!$Y$1:$Y$8,IF((Table1[[#This Row],[Form ID]]-FLOOR(Table1[[#This Row],[Form ID]],100))&lt;10,Details_Filtered!$AA$1:$AA$8,Details_Filtered!$Z$1:$Z$8))+1+COUNTA(_xlfn._xlws.FILTER($B$2:B8,($B$2:B8=Table1[[#This Row],[Class]])*($H$2:H8=H9),""))-IF(COUNTA(IF(_xlfn._xlws.FILTER($B$2:B8,($B$2:B8=Table1[[#This Row],[Class]])*($H$2:H8=H9),"")="",1,0))&gt;1,0,IF(_xlfn._xlws.FILTER($B$2:B8,($B$2:B8=Table1[[#This Row],[Class]])*($H$2:H8=H9),"")="",1,0)),"")</f>
        <v/>
      </c>
      <c r="E9" s="17" t="str">
        <f>IF(F9&lt;&gt;"",_xlfn.XLOOKUP(TEXT(F9,"#"),'Att log'!$B$6:$B$501,'Att log'!$A$6:$A$501,"X"),"")</f>
        <v/>
      </c>
      <c r="F9" s="17"/>
      <c r="H9" s="18" t="str">
        <f>IFERROR(IF((Table1[[#This Row],[Form ID]]-FLOOR(Table1[[#This Row],[Form ID]],100))&lt;10,10,100),"")</f>
        <v/>
      </c>
      <c r="I9" s="19" t="s">
        <v>1768</v>
      </c>
      <c r="R9">
        <v>800</v>
      </c>
      <c r="S9" t="s">
        <v>11</v>
      </c>
    </row>
    <row r="10" spans="1:19" x14ac:dyDescent="0.25">
      <c r="C10" s="5" t="str" cm="1">
        <f t="array" ref="C10">IFERROR(_xlfn.XLOOKUP(Table1[[#This Row],[Class]],Details_Filtered!$Y$1:$Y$8,IF((Table1[[#This Row],[Form ID]]-FLOOR(Table1[[#This Row],[Form ID]],100))&lt;10,Details_Filtered!$AA$1:$AA$8,Details_Filtered!$Z$1:$Z$8))+1+COUNTA(_xlfn._xlws.FILTER($B$2:B9,($B$2:B9=Table1[[#This Row],[Class]])*($H$2:H9=H10),""))-IF(COUNTA(IF(_xlfn._xlws.FILTER($B$2:B9,($B$2:B9=Table1[[#This Row],[Class]])*($H$2:H9=H10),"")="",1,0))&gt;1,0,IF(_xlfn._xlws.FILTER($B$2:B9,($B$2:B9=Table1[[#This Row],[Class]])*($H$2:H9=H10),"")="",1,0)),"")</f>
        <v/>
      </c>
      <c r="E10" s="17" t="str">
        <f>IF(F10&lt;&gt;"",_xlfn.XLOOKUP(TEXT(F10,"#"),'Att log'!$B$6:$B$501,'Att log'!$A$6:$A$501,"X"),"")</f>
        <v/>
      </c>
      <c r="F10" s="17"/>
      <c r="H10" s="18" t="str">
        <f>IFERROR(IF((Table1[[#This Row],[Form ID]]-FLOOR(Table1[[#This Row],[Form ID]],100))&lt;10,10,100),"")</f>
        <v/>
      </c>
      <c r="I10" s="19" t="s">
        <v>1769</v>
      </c>
    </row>
    <row r="11" spans="1:19" x14ac:dyDescent="0.25">
      <c r="C11" s="5" t="str" cm="1">
        <f t="array" ref="C1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Row],[Class]])*($H$2:H10=H11),""))-IF(COUNTA(IF(_xlfn._xlws.FILTER($B$2:B10,($B$2:B10=Table1[[#This Row],[Class]])*($H$2:H10=H11),"")="",1,0))&gt;1,0,IF(_xlfn._xlws.FILTER($B$2:B10,($B$2:B10=Table1[[#This Row],[Class]])*($H$2:H10=H11),"")="",1,0)),"")</f>
        <v/>
      </c>
      <c r="E11" s="17" t="str">
        <f>IF(F11&lt;&gt;"",_xlfn.XLOOKUP(TEXT(F11,"#"),'Att log'!$B$6:$B$501,'Att log'!$A$6:$A$501,"X"),"")</f>
        <v/>
      </c>
      <c r="F11" s="17"/>
      <c r="H11" s="18" t="str">
        <f>IFERROR(IF((Table1[[#This Row],[Form ID]]-FLOOR(Table1[[#This Row],[Form ID]],100))&lt;10,10,100),"")</f>
        <v/>
      </c>
      <c r="I11" s="19" t="s">
        <v>1770</v>
      </c>
    </row>
    <row r="12" spans="1:19" x14ac:dyDescent="0.25">
      <c r="C12" s="5" t="str" cm="1">
        <f t="array" ref="C12">IFERROR(_xlfn.XLOOKUP(Table1[[#This Row],[Class]],Details_Filtered!$Y$1:$Y$8,IF((Table1[[#This Row],[Form ID]]-FLOOR(Table1[[#This Row],[Form ID]],100))&lt;10,Details_Filtered!$AA$1:$AA$8,Details_Filtered!$Z$1:$Z$8))+1+COUNTA(_xlfn._xlws.FILTER($B$2:B11,($B$2:B11=Table1[[#This Row],[Class]])*($H$2:H11=H12),""))-IF(COUNTA(IF(_xlfn._xlws.FILTER($B$2:B11,($B$2:B11=Table1[[#This Row],[Class]])*($H$2:H11=H12),"")="",1,0))&gt;1,0,IF(_xlfn._xlws.FILTER($B$2:B11,($B$2:B11=Table1[[#This Row],[Class]])*($H$2:H11=H12),"")="",1,0)),"")</f>
        <v/>
      </c>
      <c r="E12" s="17" t="str">
        <f>IF(F12&lt;&gt;"",_xlfn.XLOOKUP(TEXT(F12,"#"),'Att log'!$B$6:$B$501,'Att log'!$A$6:$A$501,"X"),"")</f>
        <v/>
      </c>
      <c r="F12" s="17"/>
      <c r="H12" s="18" t="str">
        <f>IFERROR(IF((Table1[[#This Row],[Form ID]]-FLOOR(Table1[[#This Row],[Form ID]],100))&lt;10,10,100),"")</f>
        <v/>
      </c>
      <c r="I12" s="19" t="s">
        <v>1771</v>
      </c>
    </row>
    <row r="13" spans="1:19" x14ac:dyDescent="0.25">
      <c r="C13" s="5" t="str" cm="1">
        <f t="array" ref="C13">IFERROR(_xlfn.XLOOKUP(Table1[[#This Row],[Class]],Details_Filtered!$Y$1:$Y$8,IF((Table1[[#This Row],[Form ID]]-FLOOR(Table1[[#This Row],[Form ID]],100))&lt;10,Details_Filtered!$AA$1:$AA$8,Details_Filtered!$Z$1:$Z$8))+1+COUNTA(_xlfn._xlws.FILTER($B$2:B12,($B$2:B12=Table1[[#This Row],[Class]])*($H$2:H12=H13),""))-IF(COUNTA(IF(_xlfn._xlws.FILTER($B$2:B12,($B$2:B12=Table1[[#This Row],[Class]])*($H$2:H12=H13),"")="",1,0))&gt;1,0,IF(_xlfn._xlws.FILTER($B$2:B12,($B$2:B12=Table1[[#This Row],[Class]])*($H$2:H12=H13),"")="",1,0)),"")</f>
        <v/>
      </c>
      <c r="E13" s="17" t="str">
        <f>IF(F13&lt;&gt;"",_xlfn.XLOOKUP(TEXT(F13,"#"),'Att log'!$B$6:$B$501,'Att log'!$A$6:$A$501,"X"),"")</f>
        <v/>
      </c>
      <c r="F13" s="17"/>
      <c r="H13" s="18" t="str">
        <f>IFERROR(IF((Table1[[#This Row],[Form ID]]-FLOOR(Table1[[#This Row],[Form ID]],100))&lt;10,10,100),"")</f>
        <v/>
      </c>
      <c r="I13" s="19" t="s">
        <v>1755</v>
      </c>
    </row>
    <row r="14" spans="1:19" x14ac:dyDescent="0.25">
      <c r="C14" s="5" t="str" cm="1">
        <f t="array" ref="C14">IFERROR(_xlfn.XLOOKUP(Table1[[#This Row],[Class]],Details_Filtered!$Y$1:$Y$8,IF((Table1[[#This Row],[Form ID]]-FLOOR(Table1[[#This Row],[Form ID]],100))&lt;10,Details_Filtered!$AA$1:$AA$8,Details_Filtered!$Z$1:$Z$8))+1+COUNTA(_xlfn._xlws.FILTER($B$2:B13,($B$2:B13=Table1[[#This Row],[Class]])*($H$2:H13=H14),""))-IF(COUNTA(IF(_xlfn._xlws.FILTER($B$2:B13,($B$2:B13=Table1[[#This Row],[Class]])*($H$2:H13=H14),"")="",1,0))&gt;1,0,IF(_xlfn._xlws.FILTER($B$2:B13,($B$2:B13=Table1[[#This Row],[Class]])*($H$2:H13=H14),"")="",1,0)),"")</f>
        <v/>
      </c>
      <c r="E14" s="17" t="str">
        <f>IF(F14&lt;&gt;"",_xlfn.XLOOKUP(TEXT(F14,"#"),'Att log'!$B$6:$B$501,'Att log'!$A$6:$A$501,"X"),"")</f>
        <v/>
      </c>
      <c r="F14" s="17"/>
      <c r="H14" s="18" t="str">
        <f>IFERROR(IF((Table1[[#This Row],[Form ID]]-FLOOR(Table1[[#This Row],[Form ID]],100))&lt;10,10,100),"")</f>
        <v/>
      </c>
      <c r="I14" s="19" t="s">
        <v>1772</v>
      </c>
    </row>
    <row r="15" spans="1:19" x14ac:dyDescent="0.25">
      <c r="C15" s="5" t="str" cm="1">
        <f t="array" ref="C15">IFERROR(_xlfn.XLOOKUP(Table1[[#This Row],[Class]],Details_Filtered!$Y$1:$Y$8,IF((Table1[[#This Row],[Form ID]]-FLOOR(Table1[[#This Row],[Form ID]],100))&lt;10,Details_Filtered!$AA$1:$AA$8,Details_Filtered!$Z$1:$Z$8))+1+COUNTA(_xlfn._xlws.FILTER($B$2:B14,($B$2:B14=Table1[[#This Row],[Class]])*($H$2:H14=H15),""))-IF(COUNTA(IF(_xlfn._xlws.FILTER($B$2:B14,($B$2:B14=Table1[[#This Row],[Class]])*($H$2:H14=H15),"")="",1,0))&gt;1,0,IF(_xlfn._xlws.FILTER($B$2:B14,($B$2:B14=Table1[[#This Row],[Class]])*($H$2:H14=H15),"")="",1,0)),"")</f>
        <v/>
      </c>
      <c r="E15" s="17" t="str">
        <f>IF(F15&lt;&gt;"",_xlfn.XLOOKUP(TEXT(F15,"#"),'Att log'!$B$6:$B$501,'Att log'!$A$6:$A$501,"X"),"")</f>
        <v/>
      </c>
      <c r="F15" s="17"/>
      <c r="H15" s="18" t="str">
        <f>IFERROR(IF((Table1[[#This Row],[Form ID]]-FLOOR(Table1[[#This Row],[Form ID]],100))&lt;10,10,100),"")</f>
        <v/>
      </c>
      <c r="I15" s="19" t="s">
        <v>1758</v>
      </c>
    </row>
    <row r="16" spans="1:19" x14ac:dyDescent="0.25">
      <c r="C16" s="5" t="str" cm="1">
        <f t="array" ref="C16">IFERROR(_xlfn.XLOOKUP(Table1[[#This Row],[Class]],Details_Filtered!$Y$1:$Y$8,IF((Table1[[#This Row],[Form ID]]-FLOOR(Table1[[#This Row],[Form ID]],100))&lt;10,Details_Filtered!$AA$1:$AA$8,Details_Filtered!$Z$1:$Z$8))+1+COUNTA(_xlfn._xlws.FILTER($B$2:B15,($B$2:B15=Table1[[#This Row],[Class]])*($H$2:H15=H16),""))-IF(COUNTA(IF(_xlfn._xlws.FILTER($B$2:B15,($B$2:B15=Table1[[#This Row],[Class]])*($H$2:H15=H16),"")="",1,0))&gt;1,0,IF(_xlfn._xlws.FILTER($B$2:B15,($B$2:B15=Table1[[#This Row],[Class]])*($H$2:H15=H16),"")="",1,0)),"")</f>
        <v/>
      </c>
      <c r="E16" s="17" t="str">
        <f>IF(F16&lt;&gt;"",_xlfn.XLOOKUP(TEXT(F16,"#"),'Att log'!$B$6:$B$501,'Att log'!$A$6:$A$501,"X"),"")</f>
        <v/>
      </c>
      <c r="F16" s="17"/>
      <c r="H16" s="18" t="str">
        <f>IFERROR(IF((Table1[[#This Row],[Form ID]]-FLOOR(Table1[[#This Row],[Form ID]],100))&lt;10,10,100),"")</f>
        <v/>
      </c>
      <c r="I16" s="19" t="s">
        <v>1754</v>
      </c>
    </row>
    <row r="17" spans="3:9" x14ac:dyDescent="0.25">
      <c r="C17" s="5" t="str" cm="1">
        <f t="array" ref="C17">IFERROR(_xlfn.XLOOKUP(Table1[[#This Row],[Class]],Details_Filtered!$Y$1:$Y$8,IF((Table1[[#This Row],[Form ID]]-FLOOR(Table1[[#This Row],[Form ID]],100))&lt;10,Details_Filtered!$AA$1:$AA$8,Details_Filtered!$Z$1:$Z$8))+1+COUNTA(_xlfn._xlws.FILTER($B$2:B16,($B$2:B16=Table1[[#This Row],[Class]])*($H$2:H16=H17),""))-IF(COUNTA(IF(_xlfn._xlws.FILTER($B$2:B16,($B$2:B16=Table1[[#This Row],[Class]])*($H$2:H16=H17),"")="",1,0))&gt;1,0,IF(_xlfn._xlws.FILTER($B$2:B16,($B$2:B16=Table1[[#This Row],[Class]])*($H$2:H16=H17),"")="",1,0)),"")</f>
        <v/>
      </c>
      <c r="E17" s="17" t="str">
        <f>IF(F17&lt;&gt;"",_xlfn.XLOOKUP(TEXT(F17,"#"),'Att log'!$B$6:$B$501,'Att log'!$A$6:$A$501,"X"),"")</f>
        <v/>
      </c>
      <c r="F17" s="17"/>
      <c r="H17" s="18" t="str">
        <f>IFERROR(IF((Table1[[#This Row],[Form ID]]-FLOOR(Table1[[#This Row],[Form ID]],100))&lt;10,10,100),"")</f>
        <v/>
      </c>
      <c r="I17" s="19" t="s">
        <v>1759</v>
      </c>
    </row>
    <row r="18" spans="3:9" x14ac:dyDescent="0.25">
      <c r="C18" s="5" t="str" cm="1">
        <f t="array" ref="C18">IFERROR(_xlfn.XLOOKUP(Table1[[#This Row],[Class]],Details_Filtered!$Y$1:$Y$8,IF((Table1[[#This Row],[Form ID]]-FLOOR(Table1[[#This Row],[Form ID]],100))&lt;10,Details_Filtered!$AA$1:$AA$8,Details_Filtered!$Z$1:$Z$8))+1+COUNTA(_xlfn._xlws.FILTER($B$2:B17,($B$2:B17=Table1[[#This Row],[Class]])*($H$2:H17=H18),""))-IF(COUNTA(IF(_xlfn._xlws.FILTER($B$2:B17,($B$2:B17=Table1[[#This Row],[Class]])*($H$2:H17=H18),"")="",1,0))&gt;1,0,IF(_xlfn._xlws.FILTER($B$2:B17,($B$2:B17=Table1[[#This Row],[Class]])*($H$2:H17=H18),"")="",1,0)),"")</f>
        <v/>
      </c>
      <c r="E18" s="17" t="str">
        <f>IF(F18&lt;&gt;"",_xlfn.XLOOKUP(TEXT(F18,"#"),'Att log'!$B$6:$B$501,'Att log'!$A$6:$A$501,"X"),"")</f>
        <v/>
      </c>
      <c r="F18" s="17"/>
      <c r="H18" s="18" t="str">
        <f>IFERROR(IF((Table1[[#This Row],[Form ID]]-FLOOR(Table1[[#This Row],[Form ID]],100))&lt;10,10,100),"")</f>
        <v/>
      </c>
      <c r="I18" s="19" t="s">
        <v>1760</v>
      </c>
    </row>
    <row r="19" spans="3:9" x14ac:dyDescent="0.25">
      <c r="C19" s="5" t="str" cm="1">
        <f t="array" ref="C19">IFERROR(_xlfn.XLOOKUP(Table1[[#This Row],[Class]],Details_Filtered!$Y$1:$Y$8,IF((Table1[[#This Row],[Form ID]]-FLOOR(Table1[[#This Row],[Form ID]],100))&lt;10,Details_Filtered!$AA$1:$AA$8,Details_Filtered!$Z$1:$Z$8))+1+COUNTA(_xlfn._xlws.FILTER($B$2:B18,($B$2:B18=Table1[[#This Row],[Class]])*($H$2:H18=H19),""))-IF(COUNTA(IF(_xlfn._xlws.FILTER($B$2:B18,($B$2:B18=Table1[[#This Row],[Class]])*($H$2:H18=H19),"")="",1,0))&gt;1,0,IF(_xlfn._xlws.FILTER($B$2:B18,($B$2:B18=Table1[[#This Row],[Class]])*($H$2:H18=H19),"")="",1,0)),"")</f>
        <v/>
      </c>
      <c r="E19" s="17" t="str">
        <f>IF(F19&lt;&gt;"",_xlfn.XLOOKUP(TEXT(F19,"#"),'Att log'!$B$6:$B$501,'Att log'!$A$6:$A$501,"X"),"")</f>
        <v/>
      </c>
      <c r="F19" s="17"/>
      <c r="H19" s="18" t="str">
        <f>IFERROR(IF((Table1[[#This Row],[Form ID]]-FLOOR(Table1[[#This Row],[Form ID]],100))&lt;10,10,100),"")</f>
        <v/>
      </c>
      <c r="I19" s="19" t="s">
        <v>1762</v>
      </c>
    </row>
    <row r="20" spans="3:9" x14ac:dyDescent="0.25">
      <c r="C20" s="5" t="str" cm="1">
        <f t="array" ref="C20">IFERROR(_xlfn.XLOOKUP(Table1[[#This Row],[Class]],Details_Filtered!$Y$1:$Y$8,IF((Table1[[#This Row],[Form ID]]-FLOOR(Table1[[#This Row],[Form ID]],100))&lt;10,Details_Filtered!$AA$1:$AA$8,Details_Filtered!$Z$1:$Z$8))+1+COUNTA(_xlfn._xlws.FILTER($B$2:B19,($B$2:B19=Table1[[#This Row],[Class]])*($H$2:H19=H20),""))-IF(COUNTA(IF(_xlfn._xlws.FILTER($B$2:B19,($B$2:B19=Table1[[#This Row],[Class]])*($H$2:H19=H20),"")="",1,0))&gt;1,0,IF(_xlfn._xlws.FILTER($B$2:B19,($B$2:B19=Table1[[#This Row],[Class]])*($H$2:H19=H20),"")="",1,0)),"")</f>
        <v/>
      </c>
      <c r="E20" s="17" t="str">
        <f>IF(F20&lt;&gt;"",_xlfn.XLOOKUP(TEXT(F20,"#"),'Att log'!$B$6:$B$501,'Att log'!$A$6:$A$501,"X"),"")</f>
        <v/>
      </c>
      <c r="F20" s="17"/>
      <c r="H20" s="18" t="str">
        <f>IFERROR(IF((Table1[[#This Row],[Form ID]]-FLOOR(Table1[[#This Row],[Form ID]],100))&lt;10,10,100),"")</f>
        <v/>
      </c>
      <c r="I20" s="19" t="s">
        <v>1773</v>
      </c>
    </row>
    <row r="21" spans="3:9" x14ac:dyDescent="0.25">
      <c r="C21" s="5" t="str" cm="1">
        <f t="array" ref="C21">IFERROR(_xlfn.XLOOKUP(Table1[[#This Row],[Class]],Details_Filtered!$Y$1:$Y$8,IF((Table1[[#This Row],[Form ID]]-FLOOR(Table1[[#This Row],[Form ID]],100))&lt;10,Details_Filtered!$AA$1:$AA$8,Details_Filtered!$Z$1:$Z$8))+1+COUNTA(_xlfn._xlws.FILTER($B$2:B20,($B$2:B20=Table1[[#This Row],[Class]])*($H$2:H20=H21),""))-IF(COUNTA(IF(_xlfn._xlws.FILTER($B$2:B20,($B$2:B20=Table1[[#This Row],[Class]])*($H$2:H20=H21),"")="",1,0))&gt;1,0,IF(_xlfn._xlws.FILTER($B$2:B20,($B$2:B20=Table1[[#This Row],[Class]])*($H$2:H20=H21),"")="",1,0)),"")</f>
        <v/>
      </c>
      <c r="E21" s="17" t="str">
        <f>IF(F21&lt;&gt;"",_xlfn.XLOOKUP(TEXT(F21,"#"),'Att log'!$B$6:$B$501,'Att log'!$A$6:$A$501,"X"),"")</f>
        <v/>
      </c>
      <c r="F21" s="17"/>
      <c r="H21" s="18" t="str">
        <f>IFERROR(IF((Table1[[#This Row],[Form ID]]-FLOOR(Table1[[#This Row],[Form ID]],100))&lt;10,10,100),"")</f>
        <v/>
      </c>
      <c r="I21" s="19" t="s">
        <v>1774</v>
      </c>
    </row>
    <row r="22" spans="3:9" x14ac:dyDescent="0.25">
      <c r="C22" s="5" t="str" cm="1">
        <f t="array" ref="C22">IFERROR(_xlfn.XLOOKUP(Table1[[#This Row],[Class]],Details_Filtered!$Y$1:$Y$8,IF((Table1[[#This Row],[Form ID]]-FLOOR(Table1[[#This Row],[Form ID]],100))&lt;10,Details_Filtered!$AA$1:$AA$8,Details_Filtered!$Z$1:$Z$8))+1+COUNTA(_xlfn._xlws.FILTER($B$2:B5,($B$2:B5=Table1[[#This Row],[Class]])*($H$2:H21=H22),""))-IF(_xlfn._xlws.FILTER($B$2:B5,($B$2:B5=Table1[[#This Row],[Class]])*($H$2:H21=H22),"")="",1,0),"")</f>
        <v/>
      </c>
      <c r="E22" s="17" t="str">
        <f>IF(F22&lt;&gt;"",_xlfn.XLOOKUP(TEXT(F22,"#"),'Att log'!$B$6:$B$501,'Att log'!$A$6:$A$501,"X"),"")</f>
        <v/>
      </c>
      <c r="F22" s="17"/>
      <c r="H22" s="18" t="str">
        <f>IFERROR(IF((Table1[[#This Row],[Form ID]]-FLOOR(Table1[[#This Row],[Form ID]],100))&lt;10,10,100),"")</f>
        <v/>
      </c>
      <c r="I22" s="19" t="s">
        <v>1753</v>
      </c>
    </row>
    <row r="23" spans="3:9" x14ac:dyDescent="0.25">
      <c r="C23" s="5" t="str" cm="1">
        <f t="array" ref="C23">IFERROR(_xlfn.XLOOKUP(Table1[[#This Row],[Class]],Details_Filtered!$Y$1:$Y$8,IF((Table1[[#This Row],[Form ID]]-FLOOR(Table1[[#This Row],[Form ID]],100))&lt;10,Details_Filtered!$AA$1:$AA$8,Details_Filtered!$Z$1:$Z$8))+1+COUNTA(_xlfn._xlws.FILTER($B$2:B22,($B$2:B22=Table1[[#This Row],[Class]])*($H$2:H22=H23),""))-IF(_xlfn._xlws.FILTER($B$2:B22,($B$2:B22=Table1[[#This Row],[Class]])*($H$2:H22=H23),"")="",1,0),"")</f>
        <v/>
      </c>
      <c r="E23" s="17" t="str">
        <f>IF(F23&lt;&gt;"",_xlfn.XLOOKUP(TEXT(F23,"#"),'Att log'!$B$6:$B$501,'Att log'!$A$6:$A$501,"X"),"")</f>
        <v/>
      </c>
      <c r="F23" s="17"/>
      <c r="H23" s="18" t="str">
        <f>IFERROR(IF((Table1[[#This Row],[Form ID]]-FLOOR(Table1[[#This Row],[Form ID]],100))&lt;10,10,100),"")</f>
        <v/>
      </c>
      <c r="I23" s="19" t="s">
        <v>1775</v>
      </c>
    </row>
    <row r="24" spans="3:9" x14ac:dyDescent="0.25">
      <c r="C24" s="5" t="str" cm="1">
        <f t="array" ref="C24">IFERROR(_xlfn.XLOOKUP(Table1[[#This Row],[Class]],Details_Filtered!$Y$1:$Y$8,IF((Table1[[#This Row],[Form ID]]-FLOOR(Table1[[#This Row],[Form ID]],100))&lt;10,Details_Filtered!$AA$1:$AA$8,Details_Filtered!$Z$1:$Z$8))+1+COUNTA(_xlfn._xlws.FILTER($B$2:B23,($B$2:B23=Table1[[#This Row],[Class]])*($H$2:H23=H24),""))-IF(_xlfn._xlws.FILTER($B$2:B23,($B$2:B23=Table1[[#This Row],[Class]])*($H$2:H23=H24),"")="",1,0),"")</f>
        <v/>
      </c>
      <c r="E24" s="17" t="str">
        <f>IF(F24&lt;&gt;"",_xlfn.XLOOKUP(TEXT(F24,"#"),'Att log'!$B$6:$B$501,'Att log'!$A$6:$A$501,"X"),"")</f>
        <v/>
      </c>
      <c r="F24" s="17"/>
      <c r="H24" s="18" t="str">
        <f>IFERROR(IF((Table1[[#This Row],[Form ID]]-FLOOR(Table1[[#This Row],[Form ID]],100))&lt;10,10,100),"")</f>
        <v/>
      </c>
      <c r="I24" s="19" t="s">
        <v>1776</v>
      </c>
    </row>
    <row r="25" spans="3:9" x14ac:dyDescent="0.25">
      <c r="C25" s="5" t="str" cm="1">
        <f t="array" ref="C25">IFERROR(_xlfn.XLOOKUP(Table1[[#This Row],[Class]],Details_Filtered!$Y$1:$Y$8,IF((Table1[[#This Row],[Form ID]]-FLOOR(Table1[[#This Row],[Form ID]],100))&lt;10,Details_Filtered!$AA$1:$AA$8,Details_Filtered!$Z$1:$Z$8))+1+COUNTA(_xlfn._xlws.FILTER($B$2:B24,($B$2:B24=Table1[[#This Row],[Class]])*($H$2:H24=H25),""))-IF(_xlfn._xlws.FILTER($B$2:B24,($B$2:B24=Table1[[#This Row],[Class]])*($H$2:H24=H25),"")="",1,0),"")</f>
        <v/>
      </c>
      <c r="E25" s="17" t="str">
        <f>IF(F25&lt;&gt;"",_xlfn.XLOOKUP(TEXT(F25,"#"),'Att log'!$B$6:$B$501,'Att log'!$A$6:$A$501,"X"),"")</f>
        <v/>
      </c>
      <c r="F25" s="17"/>
      <c r="H25" s="18" t="str">
        <f>IFERROR(IF((Table1[[#This Row],[Form ID]]-FLOOR(Table1[[#This Row],[Form ID]],100))&lt;10,10,100),"")</f>
        <v/>
      </c>
      <c r="I25" s="19" t="s">
        <v>1757</v>
      </c>
    </row>
    <row r="26" spans="3:9" x14ac:dyDescent="0.25">
      <c r="C26" s="5" t="str" cm="1">
        <f t="array" ref="C26">IFERROR(_xlfn.XLOOKUP(Table1[[#This Row],[Class]],Details_Filtered!$Y$1:$Y$8,IF((Table1[[#This Row],[Form ID]]-FLOOR(Table1[[#This Row],[Form ID]],100))&lt;10,Details_Filtered!$AA$1:$AA$8,Details_Filtered!$Z$1:$Z$8))+1+COUNTA(_xlfn._xlws.FILTER($B$2:B25,($B$2:B25=Table1[[#This Row],[Class]])*($H$2:H25=H26),""))-IF(_xlfn._xlws.FILTER($B$2:B25,($B$2:B25=Table1[[#This Row],[Class]])*($H$2:H25=H26),"")="",1,0),"")</f>
        <v/>
      </c>
      <c r="E26" s="17" t="str">
        <f>IF(F26&lt;&gt;"",_xlfn.XLOOKUP(TEXT(F26,"#"),'Att log'!$B$6:$B$501,'Att log'!$A$6:$A$501,"X"),"")</f>
        <v/>
      </c>
      <c r="F26" s="17"/>
      <c r="H26" s="18" t="str">
        <f>IFERROR(IF((Table1[[#This Row],[Form ID]]-FLOOR(Table1[[#This Row],[Form ID]],100))&lt;10,10,100),"")</f>
        <v/>
      </c>
      <c r="I26" s="19" t="s">
        <v>1777</v>
      </c>
    </row>
    <row r="27" spans="3:9" x14ac:dyDescent="0.25">
      <c r="C27" s="5" t="str" cm="1">
        <f t="array" ref="C27">IFERROR(_xlfn.XLOOKUP(Table1[[#This Row],[Class]],Details_Filtered!$Y$1:$Y$8,IF((Table1[[#This Row],[Form ID]]-FLOOR(Table1[[#This Row],[Form ID]],100))&lt;10,Details_Filtered!$AA$1:$AA$8,Details_Filtered!$Z$1:$Z$8))+1+COUNTA(_xlfn._xlws.FILTER($B$2:B26,($B$2:B26=Table1[[#This Row],[Class]])*($H$2:H26=H27),""))-IF(_xlfn._xlws.FILTER($B$2:B26,($B$2:B26=Table1[[#This Row],[Class]])*($H$2:H26=H27),"")="",1,0),"")</f>
        <v/>
      </c>
      <c r="E27" s="17" t="str">
        <f>IF(F27&lt;&gt;"",_xlfn.XLOOKUP(TEXT(F27,"#"),'Att log'!$B$6:$B$501,'Att log'!$A$6:$A$501,"X"),"")</f>
        <v/>
      </c>
      <c r="F27" s="17"/>
      <c r="H27" s="18" t="str">
        <f>IFERROR(IF((Table1[[#This Row],[Form ID]]-FLOOR(Table1[[#This Row],[Form ID]],100))&lt;10,10,100),"")</f>
        <v/>
      </c>
      <c r="I27" s="19" t="s">
        <v>1756</v>
      </c>
    </row>
    <row r="28" spans="3:9" x14ac:dyDescent="0.25">
      <c r="C28" s="5" t="str" cm="1">
        <f t="array" ref="C28">IFERROR(_xlfn.XLOOKUP(Table1[[#This Row],[Class]],Details_Filtered!$Y$1:$Y$8,IF((Table1[[#This Row],[Form ID]]-FLOOR(Table1[[#This Row],[Form ID]],100))&lt;10,Details_Filtered!$AA$1:$AA$8,Details_Filtered!$Z$1:$Z$8))+1+COUNTA(_xlfn._xlws.FILTER($B$2:B27,($B$2:B27=Table1[[#This Row],[Class]])*($H$2:H27=H28),""))-IF(_xlfn._xlws.FILTER($B$2:B27,($B$2:B27=Table1[[#This Row],[Class]])*($H$2:H27=H28),"")="",1,0),"")</f>
        <v/>
      </c>
      <c r="E28" s="17" t="str">
        <f>IF(F28&lt;&gt;"",_xlfn.XLOOKUP(TEXT(F28,"#"),'Att log'!$B$6:$B$501,'Att log'!$A$6:$A$501,"X"),"")</f>
        <v/>
      </c>
      <c r="F28" s="17"/>
      <c r="H28" s="18" t="str">
        <f>IFERROR(IF((Table1[[#This Row],[Form ID]]-FLOOR(Table1[[#This Row],[Form ID]],100))&lt;10,10,100),"")</f>
        <v/>
      </c>
      <c r="I28" s="19" t="s">
        <v>1778</v>
      </c>
    </row>
    <row r="29" spans="3:9" x14ac:dyDescent="0.25">
      <c r="C29" s="5" t="str" cm="1">
        <f t="array" ref="C29">IFERROR(_xlfn.XLOOKUP(Table1[[#This Row],[Class]],Details_Filtered!$Y$1:$Y$8,IF((Table1[[#This Row],[Form ID]]-FLOOR(Table1[[#This Row],[Form ID]],100))&lt;10,Details_Filtered!$AA$1:$AA$8,Details_Filtered!$Z$1:$Z$8))+1+COUNTA(_xlfn._xlws.FILTER($B$2:B28,($B$2:B28=Table1[[#This Row],[Class]])*($H$2:H28=H29),""))-IF(_xlfn._xlws.FILTER($B$2:B28,($B$2:B28=Table1[[#This Row],[Class]])*($H$2:H28=H29),"")="",1,0),"")</f>
        <v/>
      </c>
      <c r="E29" s="17" t="str">
        <f>IF(F29&lt;&gt;"",_xlfn.XLOOKUP(TEXT(F29,"#"),'Att log'!$B$6:$B$501,'Att log'!$A$6:$A$501,"X"),"")</f>
        <v/>
      </c>
      <c r="F29" s="17"/>
      <c r="H29" s="18" t="str">
        <f>IFERROR(IF((Table1[[#This Row],[Form ID]]-FLOOR(Table1[[#This Row],[Form ID]],100))&lt;10,10,100),"")</f>
        <v/>
      </c>
      <c r="I29" s="19" t="s">
        <v>1779</v>
      </c>
    </row>
    <row r="30" spans="3:9" x14ac:dyDescent="0.25">
      <c r="C30" s="5" t="str" cm="1">
        <f t="array" ref="C30">IFERROR(_xlfn.XLOOKUP(Table1[[#This Row],[Class]],Details_Filtered!$Y$1:$Y$8,IF((Table1[[#This Row],[Form ID]]-FLOOR(Table1[[#This Row],[Form ID]],100))&lt;10,Details_Filtered!$AA$1:$AA$8,Details_Filtered!$Z$1:$Z$8))+1+COUNTA(_xlfn._xlws.FILTER($B$2:B29,($B$2:B29=Table1[[#This Row],[Class]])*($H$2:H29=H30),""))-IF(_xlfn._xlws.FILTER($B$2:B29,($B$2:B29=Table1[[#This Row],[Class]])*($H$2:H29=H30),"")="",1,0),"")</f>
        <v/>
      </c>
      <c r="E30" s="17" t="str">
        <f>IF(F30&lt;&gt;"",_xlfn.XLOOKUP(TEXT(F30,"#"),'Att log'!$B$6:$B$501,'Att log'!$A$6:$A$501,"X"),"")</f>
        <v/>
      </c>
      <c r="F30" s="17"/>
      <c r="H30" s="18" t="str">
        <f>IFERROR(IF((Table1[[#This Row],[Form ID]]-FLOOR(Table1[[#This Row],[Form ID]],100))&lt;10,10,100),"")</f>
        <v/>
      </c>
    </row>
    <row r="31" spans="3:9" x14ac:dyDescent="0.25">
      <c r="C31" s="5" t="str" cm="1">
        <f t="array" ref="C31">IFERROR(_xlfn.XLOOKUP(Table1[[#This Row],[Class]],Details_Filtered!$Y$1:$Y$8,IF((Table1[[#This Row],[Form ID]]-FLOOR(Table1[[#This Row],[Form ID]],100))&lt;10,Details_Filtered!$AA$1:$AA$8,Details_Filtered!$Z$1:$Z$8))+1+COUNTA(_xlfn._xlws.FILTER($B$2:B30,($B$2:B30=Table1[[#This Row],[Class]])*($H$2:H30=H31),""))-IF(_xlfn._xlws.FILTER($B$2:B30,($B$2:B30=Table1[[#This Row],[Class]])*($H$2:H30=H31),"")="",1,0),"")</f>
        <v/>
      </c>
      <c r="E31" s="17" t="str">
        <f>IF(F31&lt;&gt;"",_xlfn.XLOOKUP(TEXT(F31,"#"),'Att log'!$B$6:$B$501,'Att log'!$A$6:$A$501,"X"),"")</f>
        <v/>
      </c>
      <c r="F31" s="17"/>
      <c r="H31" s="18" t="str">
        <f>IFERROR(IF((Table1[[#This Row],[Form ID]]-FLOOR(Table1[[#This Row],[Form ID]],100))&lt;10,10,100),"")</f>
        <v/>
      </c>
      <c r="I31" s="19"/>
    </row>
    <row r="32" spans="3:9" x14ac:dyDescent="0.25">
      <c r="C32" s="5" t="str" cm="1">
        <f t="array" ref="C32">IFERROR(_xlfn.XLOOKUP(Table1[[#This Row],[Class]],Details_Filtered!$Y$1:$Y$8,IF((Table1[[#This Row],[Form ID]]-FLOOR(Table1[[#This Row],[Form ID]],100))&lt;10,Details_Filtered!$AA$1:$AA$8,Details_Filtered!$Z$1:$Z$8))+1+COUNTA(_xlfn._xlws.FILTER($B$2:B31,($B$2:B31=Table1[[#This Row],[Class]])*($H$2:H31=H32),""))-IF(_xlfn._xlws.FILTER($B$2:B31,($B$2:B31=Table1[[#This Row],[Class]])*($H$2:H31=H32),"")="",1,0),"")</f>
        <v/>
      </c>
      <c r="E32" s="17" t="str">
        <f>IF(F32&lt;&gt;"",_xlfn.XLOOKUP(TEXT(F32,"#"),'Att log'!$B$6:$B$501,'Att log'!$A$6:$A$501,"X"),"")</f>
        <v/>
      </c>
      <c r="F32" s="17"/>
      <c r="H32" s="18" t="str">
        <f>IFERROR(IF((Table1[[#This Row],[Form ID]]-FLOOR(Table1[[#This Row],[Form ID]],100))&lt;10,10,100),"")</f>
        <v/>
      </c>
      <c r="I32" s="19"/>
    </row>
    <row r="33" spans="3:8" x14ac:dyDescent="0.25">
      <c r="C33" s="5" t="str" cm="1">
        <f t="array" ref="C33">IFERROR(_xlfn.XLOOKUP(Table1[[#This Row],[Class]],Details_Filtered!$Y$1:$Y$8,IF((Table1[[#This Row],[Form ID]]-FLOOR(Table1[[#This Row],[Form ID]],100))&lt;10,Details_Filtered!$AA$1:$AA$8,Details_Filtered!$Z$1:$Z$8))+1+COUNTA(_xlfn._xlws.FILTER($B$2:B32,($B$2:B32=Table1[[#This Row],[Class]])*($H$2:H32=H33),""))-IF(_xlfn._xlws.FILTER($B$2:B32,($B$2:B32=Table1[[#This Row],[Class]])*($H$2:H32=H33),"")="",1,0),"")</f>
        <v/>
      </c>
      <c r="E33" s="17" t="str">
        <f>IF(F33&lt;&gt;"",_xlfn.XLOOKUP(TEXT(F33,"#"),'Att log'!$B$6:$B$501,'Att log'!$A$6:$A$501,"X"),"")</f>
        <v/>
      </c>
      <c r="F33" s="17"/>
      <c r="H33" s="18" t="str">
        <f>IFERROR(IF((Table1[[#This Row],[Form ID]]-FLOOR(Table1[[#This Row],[Form ID]],100))&lt;10,10,100),"")</f>
        <v/>
      </c>
    </row>
    <row r="34" spans="3:8" x14ac:dyDescent="0.25">
      <c r="C34" s="5" t="str" cm="1">
        <f t="array" ref="C34">IFERROR(_xlfn.XLOOKUP(Table1[[#This Row],[Class]],Details_Filtered!$Y$1:$Y$8,IF((Table1[[#This Row],[Form ID]]-FLOOR(Table1[[#This Row],[Form ID]],100))&lt;10,Details_Filtered!$AA$1:$AA$8,Details_Filtered!$Z$1:$Z$8))+1+COUNTA(_xlfn._xlws.FILTER($B$2:B33,($B$2:B33=Table1[[#This Row],[Class]])*($H$2:H33=H34),""))-IF(_xlfn._xlws.FILTER($B$2:B33,($B$2:B33=Table1[[#This Row],[Class]])*($H$2:H33=H34),"")="",1,0),"")</f>
        <v/>
      </c>
      <c r="E34" s="17" t="str">
        <f>IF(F34&lt;&gt;"",_xlfn.XLOOKUP(TEXT(F34,"#"),'Att log'!$B$6:$B$501,'Att log'!$A$6:$A$501,"X"),"")</f>
        <v/>
      </c>
      <c r="F34" s="17"/>
      <c r="H34" s="18" t="str">
        <f>IFERROR(IF((Table1[[#This Row],[Form ID]]-FLOOR(Table1[[#This Row],[Form ID]],100))&lt;10,10,100),"")</f>
        <v/>
      </c>
    </row>
    <row r="35" spans="3:8" x14ac:dyDescent="0.25">
      <c r="C35" s="5" t="str" cm="1">
        <f t="array" ref="C35">IFERROR(_xlfn.XLOOKUP(Table1[[#This Row],[Class]],Details_Filtered!$Y$1:$Y$8,IF((Table1[[#This Row],[Form ID]]-FLOOR(Table1[[#This Row],[Form ID]],100))&lt;10,Details_Filtered!$AA$1:$AA$8,Details_Filtered!$Z$1:$Z$8))+1+COUNTA(_xlfn._xlws.FILTER($B$2:B34,($B$2:B34=Table1[[#This Row],[Class]])*($H$2:H34=H35),""))-IF(_xlfn._xlws.FILTER($B$2:B34,($B$2:B34=Table1[[#This Row],[Class]])*($H$2:H34=H35),"")="",1,0),"")</f>
        <v/>
      </c>
      <c r="E35" s="17" t="str">
        <f>IF(F35&lt;&gt;"",_xlfn.XLOOKUP(TEXT(F35,"#"),'Att log'!$B$6:$B$501,'Att log'!$A$6:$A$501,"X"),"")</f>
        <v/>
      </c>
      <c r="F35" s="17"/>
      <c r="H35" s="18" t="str">
        <f>IFERROR(IF((Table1[[#This Row],[Form ID]]-FLOOR(Table1[[#This Row],[Form ID]],100))&lt;10,10,100),"")</f>
        <v/>
      </c>
    </row>
    <row r="36" spans="3:8" x14ac:dyDescent="0.25">
      <c r="C36" s="5" t="str" cm="1">
        <f t="array" ref="C36">IFERROR(_xlfn.XLOOKUP(Table1[[#This Row],[Class]],Details_Filtered!$Y$1:$Y$8,IF((Table1[[#This Row],[Form ID]]-FLOOR(Table1[[#This Row],[Form ID]],100))&lt;10,Details_Filtered!$AA$1:$AA$8,Details_Filtered!$Z$1:$Z$8))+1+COUNTA(_xlfn._xlws.FILTER($B$2:B35,($B$2:B35=Table1[[#This Row],[Class]])*($H$2:H35=H36),""))-IF(_xlfn._xlws.FILTER($B$2:B35,($B$2:B35=Table1[[#This Row],[Class]])*($H$2:H35=H36),"")="",1,0),"")</f>
        <v/>
      </c>
      <c r="E36" s="17" t="str">
        <f>IF(F36&lt;&gt;"",_xlfn.XLOOKUP(TEXT(F36,"#"),'Att log'!$B$6:$B$501,'Att log'!$A$6:$A$501,"X"),"")</f>
        <v/>
      </c>
      <c r="F36" s="17"/>
      <c r="H36" s="18" t="str">
        <f>IFERROR(IF((Table1[[#This Row],[Form ID]]-FLOOR(Table1[[#This Row],[Form ID]],100))&lt;10,10,100),"")</f>
        <v/>
      </c>
    </row>
    <row r="37" spans="3:8" x14ac:dyDescent="0.25">
      <c r="C37" s="5" t="str" cm="1">
        <f t="array" ref="C37">IFERROR(_xlfn.XLOOKUP(Table1[[#This Row],[Class]],Details_Filtered!$Y$1:$Y$8,IF((Table1[[#This Row],[Form ID]]-FLOOR(Table1[[#This Row],[Form ID]],100))&lt;10,Details_Filtered!$AA$1:$AA$8,Details_Filtered!$Z$1:$Z$8))+1+COUNTA(_xlfn._xlws.FILTER($B$2:B36,($B$2:B36=Table1[[#This Row],[Class]])*($H$2:H36=H37),""))-IF(_xlfn._xlws.FILTER($B$2:B36,($B$2:B36=Table1[[#This Row],[Class]])*($H$2:H36=H37),"")="",1,0),"")</f>
        <v/>
      </c>
      <c r="E37" s="17" t="str">
        <f>IF(F37&lt;&gt;"",_xlfn.XLOOKUP(TEXT(F37,"#"),'Att log'!$B$6:$B$501,'Att log'!$A$6:$A$501,"X"),"")</f>
        <v/>
      </c>
      <c r="F37" s="17"/>
      <c r="H37" s="18" t="str">
        <f>IFERROR(IF((Table1[[#This Row],[Form ID]]-FLOOR(Table1[[#This Row],[Form ID]],100))&lt;10,10,100),"")</f>
        <v/>
      </c>
    </row>
    <row r="38" spans="3:8" x14ac:dyDescent="0.25">
      <c r="C38" s="5" t="str" cm="1">
        <f t="array" ref="C38">IFERROR(_xlfn.XLOOKUP(Table1[[#This Row],[Class]],Details_Filtered!$Y$1:$Y$8,IF((Table1[[#This Row],[Form ID]]-FLOOR(Table1[[#This Row],[Form ID]],100))&lt;10,Details_Filtered!$AA$1:$AA$8,Details_Filtered!$Z$1:$Z$8))+1+COUNTA(_xlfn._xlws.FILTER($B$2:B37,($B$2:B37=Table1[[#This Row],[Class]])*($H$2:H37=H38),""))-IF(_xlfn._xlws.FILTER($B$2:B37,($B$2:B37=Table1[[#This Row],[Class]])*($H$2:H37=H38),"")="",1,0),"")</f>
        <v/>
      </c>
      <c r="E38" s="17" t="str">
        <f>IF(F38&lt;&gt;"",_xlfn.XLOOKUP(TEXT(F38,"#"),'Att log'!$B$6:$B$501,'Att log'!$A$6:$A$501,"X"),"")</f>
        <v/>
      </c>
      <c r="F38" s="17"/>
      <c r="H38" s="18" t="str">
        <f>IFERROR(IF((Table1[[#This Row],[Form ID]]-FLOOR(Table1[[#This Row],[Form ID]],100))&lt;10,10,100),"")</f>
        <v/>
      </c>
    </row>
    <row r="39" spans="3:8" x14ac:dyDescent="0.25">
      <c r="C39" s="5" t="str" cm="1">
        <f t="array" ref="C39">IFERROR(_xlfn.XLOOKUP(Table1[[#This Row],[Class]],Details_Filtered!$Y$1:$Y$8,IF((Table1[[#This Row],[Form ID]]-FLOOR(Table1[[#This Row],[Form ID]],100))&lt;10,Details_Filtered!$AA$1:$AA$8,Details_Filtered!$Z$1:$Z$8))+1+COUNTA(_xlfn._xlws.FILTER($B$2:B38,($B$2:B38=Table1[[#This Row],[Class]])*($H$2:H38=H39),""))-IF(_xlfn._xlws.FILTER($B$2:B38,($B$2:B38=Table1[[#This Row],[Class]])*($H$2:H38=H39),"")="",1,0),"")</f>
        <v/>
      </c>
      <c r="E39" s="17" t="str">
        <f>IF(F39&lt;&gt;"",_xlfn.XLOOKUP(TEXT(F39,"#"),'Att log'!$B$6:$B$501,'Att log'!$A$6:$A$501,"X"),"")</f>
        <v/>
      </c>
      <c r="F39" s="17"/>
      <c r="H39" s="18" t="str">
        <f>IFERROR(IF((Table1[[#This Row],[Form ID]]-FLOOR(Table1[[#This Row],[Form ID]],100))&lt;10,10,100),"")</f>
        <v/>
      </c>
    </row>
    <row r="40" spans="3:8" x14ac:dyDescent="0.25">
      <c r="C40" s="5" t="str" cm="1">
        <f t="array" ref="C40">IFERROR(_xlfn.XLOOKUP(Table1[[#This Row],[Class]],Details_Filtered!$Y$1:$Y$8,IF((Table1[[#This Row],[Form ID]]-FLOOR(Table1[[#This Row],[Form ID]],100))&lt;10,Details_Filtered!$AA$1:$AA$8,Details_Filtered!$Z$1:$Z$8))+1+COUNTA(_xlfn._xlws.FILTER($B$2:B39,($B$2:B39=Table1[[#This Row],[Class]])*($H$2:H39=H40),""))-IF(_xlfn._xlws.FILTER($B$2:B39,($B$2:B39=Table1[[#This Row],[Class]])*($H$2:H39=H40),"")="",1,0),"")</f>
        <v/>
      </c>
      <c r="E40" s="17" t="str">
        <f>IF(F40&lt;&gt;"",_xlfn.XLOOKUP(TEXT(F40,"#"),'Att log'!$B$6:$B$501,'Att log'!$A$6:$A$501,"X"),"")</f>
        <v/>
      </c>
      <c r="F40" s="17"/>
      <c r="H40" s="18" t="str">
        <f>IFERROR(IF((Table1[[#This Row],[Form ID]]-FLOOR(Table1[[#This Row],[Form ID]],100))&lt;10,10,100),"")</f>
        <v/>
      </c>
    </row>
    <row r="41" spans="3:8" x14ac:dyDescent="0.25">
      <c r="C41" s="5" t="str" cm="1">
        <f t="array" ref="C41">IFERROR(_xlfn.XLOOKUP(Table1[[#This Row],[Class]],Details_Filtered!$Y$1:$Y$8,IF((Table1[[#This Row],[Form ID]]-FLOOR(Table1[[#This Row],[Form ID]],100))&lt;10,Details_Filtered!$AA$1:$AA$8,Details_Filtered!$Z$1:$Z$8))+1+COUNTA(_xlfn._xlws.FILTER($B$2:B40,($B$2:B40=Table1[[#This Row],[Class]])*($H$2:H40=H41),""))-IF(_xlfn._xlws.FILTER($B$2:B40,($B$2:B40=Table1[[#This Row],[Class]])*($H$2:H40=H41),"")="",1,0),"")</f>
        <v/>
      </c>
      <c r="E41" s="17" t="str">
        <f>IF(F41&lt;&gt;"",_xlfn.XLOOKUP(TEXT(F41,"#"),'Att log'!$B$6:$B$501,'Att log'!$A$6:$A$501,"X"),"")</f>
        <v/>
      </c>
      <c r="F41" s="17"/>
      <c r="H41" s="18" t="str">
        <f>IFERROR(IF((Table1[[#This Row],[Form ID]]-FLOOR(Table1[[#This Row],[Form ID]],100))&lt;10,10,100),"")</f>
        <v/>
      </c>
    </row>
    <row r="42" spans="3:8" x14ac:dyDescent="0.25">
      <c r="C42" s="5" t="str" cm="1">
        <f t="array" ref="C42">IFERROR(_xlfn.XLOOKUP(Table1[[#This Row],[Class]],Details_Filtered!$Y$1:$Y$8,IF((Table1[[#This Row],[Form ID]]-FLOOR(Table1[[#This Row],[Form ID]],100))&lt;10,Details_Filtered!$AA$1:$AA$8,Details_Filtered!$Z$1:$Z$8))+1+COUNTA(_xlfn._xlws.FILTER($B$2:B41,($B$2:B41=Table1[[#This Row],[Class]])*($H$2:H41=H42),""))-IF(_xlfn._xlws.FILTER($B$2:B41,($B$2:B41=Table1[[#This Row],[Class]])*($H$2:H41=H42),"")="",1,0),"")</f>
        <v/>
      </c>
      <c r="E42" s="17" t="str">
        <f>IF(F42&lt;&gt;"",_xlfn.XLOOKUP(TEXT(F42,"#"),'Att log'!$B$6:$B$501,'Att log'!$A$6:$A$501,"X"),"")</f>
        <v/>
      </c>
      <c r="F42" s="17"/>
      <c r="H42" s="18" t="str">
        <f>IFERROR(IF((Table1[[#This Row],[Form ID]]-FLOOR(Table1[[#This Row],[Form ID]],100))&lt;10,10,100),"")</f>
        <v/>
      </c>
    </row>
    <row r="43" spans="3:8" x14ac:dyDescent="0.25">
      <c r="C43" s="5" t="str" cm="1">
        <f t="array" ref="C43">IFERROR(_xlfn.XLOOKUP(Table1[[#This Row],[Class]],Details_Filtered!$Y$1:$Y$8,IF((Table1[[#This Row],[Form ID]]-FLOOR(Table1[[#This Row],[Form ID]],100))&lt;10,Details_Filtered!$AA$1:$AA$8,Details_Filtered!$Z$1:$Z$8))+1+COUNTA(_xlfn._xlws.FILTER($B$2:B42,($B$2:B42=Table1[[#This Row],[Class]])*($H$2:H42=H43),""))-IF(_xlfn._xlws.FILTER($B$2:B42,($B$2:B42=Table1[[#This Row],[Class]])*($H$2:H42=H43),"")="",1,0),"")</f>
        <v/>
      </c>
      <c r="E43" s="17" t="str">
        <f>IF(F43&lt;&gt;"",_xlfn.XLOOKUP(TEXT(F43,"#"),'Att log'!$B$6:$B$501,'Att log'!$A$6:$A$501,"X"),"")</f>
        <v/>
      </c>
      <c r="F43" s="17"/>
      <c r="H43" s="18" t="str">
        <f>IFERROR(IF((Table1[[#This Row],[Form ID]]-FLOOR(Table1[[#This Row],[Form ID]],100))&lt;10,10,100),"")</f>
        <v/>
      </c>
    </row>
    <row r="44" spans="3:8" x14ac:dyDescent="0.25">
      <c r="C44" s="5" t="str" cm="1">
        <f t="array" ref="C44">IFERROR(_xlfn.XLOOKUP(Table1[[#This Row],[Class]],Details_Filtered!$Y$1:$Y$8,IF((Table1[[#This Row],[Form ID]]-FLOOR(Table1[[#This Row],[Form ID]],100))&lt;10,Details_Filtered!$AA$1:$AA$8,Details_Filtered!$Z$1:$Z$8))+1+COUNTA(_xlfn._xlws.FILTER($B$2:B43,($B$2:B43=Table1[[#This Row],[Class]])*($H$2:H43=H44),""))-IF(_xlfn._xlws.FILTER($B$2:B43,($B$2:B43=Table1[[#This Row],[Class]])*($H$2:H43=H44),"")="",1,0),"")</f>
        <v/>
      </c>
      <c r="E44" s="17" t="str">
        <f>IF(F44&lt;&gt;"",_xlfn.XLOOKUP(TEXT(F44,"#"),'Att log'!$B$6:$B$501,'Att log'!$A$6:$A$501,"X"),"")</f>
        <v/>
      </c>
      <c r="F44" s="17"/>
      <c r="H44" s="18" t="str">
        <f>IFERROR(IF((Table1[[#This Row],[Form ID]]-FLOOR(Table1[[#This Row],[Form ID]],100))&lt;10,10,100),"")</f>
        <v/>
      </c>
    </row>
    <row r="45" spans="3:8" x14ac:dyDescent="0.25">
      <c r="C45" s="5" t="str" cm="1">
        <f t="array" ref="C45">IFERROR(_xlfn.XLOOKUP(Table1[[#This Row],[Class]],Details_Filtered!$Y$1:$Y$8,IF((Table1[[#This Row],[Form ID]]-FLOOR(Table1[[#This Row],[Form ID]],100))&lt;10,Details_Filtered!$AA$1:$AA$8,Details_Filtered!$Z$1:$Z$8))+1+COUNTA(_xlfn._xlws.FILTER($B$2:B44,($B$2:B44=Table1[[#This Row],[Class]])*($H$2:H44=H45),""))-IF(_xlfn._xlws.FILTER($B$2:B44,($B$2:B44=Table1[[#This Row],[Class]])*($H$2:H44=H45),"")="",1,0),"")</f>
        <v/>
      </c>
      <c r="E45" s="17" t="str">
        <f>IF(F45&lt;&gt;"",_xlfn.XLOOKUP(TEXT(F45,"#"),'Att log'!$B$6:$B$501,'Att log'!$A$6:$A$501,"X"),"")</f>
        <v/>
      </c>
      <c r="F45" s="17"/>
      <c r="H45" s="18" t="str">
        <f>IFERROR(IF((Table1[[#This Row],[Form ID]]-FLOOR(Table1[[#This Row],[Form ID]],100))&lt;10,10,100),"")</f>
        <v/>
      </c>
    </row>
    <row r="46" spans="3:8" x14ac:dyDescent="0.25">
      <c r="C46" s="5" t="str" cm="1">
        <f t="array" ref="C46">IFERROR(_xlfn.XLOOKUP(Table1[[#This Row],[Class]],Details_Filtered!$Y$1:$Y$8,IF((Table1[[#This Row],[Form ID]]-FLOOR(Table1[[#This Row],[Form ID]],100))&lt;10,Details_Filtered!$AA$1:$AA$8,Details_Filtered!$Z$1:$Z$8))+1+COUNTA(_xlfn._xlws.FILTER($B$2:B45,($B$2:B45=Table1[[#This Row],[Class]])*($H$2:H45=H46),""))-IF(_xlfn._xlws.FILTER($B$2:B45,($B$2:B45=Table1[[#This Row],[Class]])*($H$2:H45=H46),"")="",1,0),"")</f>
        <v/>
      </c>
      <c r="E46" s="17" t="str">
        <f>IF(F46&lt;&gt;"",_xlfn.XLOOKUP(TEXT(F46,"#"),'Att log'!$B$6:$B$501,'Att log'!$A$6:$A$501,"X"),"")</f>
        <v/>
      </c>
      <c r="F46" s="17"/>
      <c r="H46" s="18" t="str">
        <f>IFERROR(IF((Table1[[#This Row],[Form ID]]-FLOOR(Table1[[#This Row],[Form ID]],100))&lt;10,10,100),"")</f>
        <v/>
      </c>
    </row>
    <row r="47" spans="3:8" x14ac:dyDescent="0.25">
      <c r="C47" s="5" t="str" cm="1">
        <f t="array" ref="C47">IFERROR(_xlfn.XLOOKUP(Table1[[#This Row],[Class]],Details_Filtered!$Y$1:$Y$8,IF((Table1[[#This Row],[Form ID]]-FLOOR(Table1[[#This Row],[Form ID]],100))&lt;10,Details_Filtered!$AA$1:$AA$8,Details_Filtered!$Z$1:$Z$8))+1+COUNTA(_xlfn._xlws.FILTER($B$2:B46,($B$2:B46=Table1[[#This Row],[Class]])*($H$2:H46=H47),""))-IF(_xlfn._xlws.FILTER($B$2:B46,($B$2:B46=Table1[[#This Row],[Class]])*($H$2:H46=H47),"")="",1,0),"")</f>
        <v/>
      </c>
      <c r="E47" s="17" t="str">
        <f>IF(F47&lt;&gt;"",_xlfn.XLOOKUP(TEXT(F47,"#"),'Att log'!$B$6:$B$501,'Att log'!$A$6:$A$501,"X"),"")</f>
        <v/>
      </c>
      <c r="F47" s="17"/>
      <c r="H47" s="18" t="str">
        <f>IFERROR(IF((Table1[[#This Row],[Form ID]]-FLOOR(Table1[[#This Row],[Form ID]],100))&lt;10,10,100),"")</f>
        <v/>
      </c>
    </row>
    <row r="48" spans="3:8" x14ac:dyDescent="0.25">
      <c r="C48" s="5" t="str" cm="1">
        <f t="array" ref="C48">IFERROR(_xlfn.XLOOKUP(Table1[[#This Row],[Class]],Details_Filtered!$Y$1:$Y$8,IF((Table1[[#This Row],[Form ID]]-FLOOR(Table1[[#This Row],[Form ID]],100))&lt;10,Details_Filtered!$AA$1:$AA$8,Details_Filtered!$Z$1:$Z$8))+1+COUNTA(_xlfn._xlws.FILTER($B$2:B47,($B$2:B47=Table1[[#This Row],[Class]])*($H$2:H47=H48),""))-IF(_xlfn._xlws.FILTER($B$2:B47,($B$2:B47=Table1[[#This Row],[Class]])*($H$2:H47=H48),"")="",1,0),"")</f>
        <v/>
      </c>
      <c r="E48" s="17" t="str">
        <f>IF(F48&lt;&gt;"",_xlfn.XLOOKUP(TEXT(F48,"#"),'Att log'!$B$6:$B$501,'Att log'!$A$6:$A$501,"X"),"")</f>
        <v/>
      </c>
      <c r="F48" s="17"/>
      <c r="H48" s="18" t="str">
        <f>IFERROR(IF((Table1[[#This Row],[Form ID]]-FLOOR(Table1[[#This Row],[Form ID]],100))&lt;10,10,100),"")</f>
        <v/>
      </c>
    </row>
    <row r="49" spans="3:8" x14ac:dyDescent="0.25">
      <c r="C49" s="5" t="str" cm="1">
        <f t="array" ref="C49">IFERROR(_xlfn.XLOOKUP(Table1[[#This Row],[Class]],Details_Filtered!$Y$1:$Y$8,IF((Table1[[#This Row],[Form ID]]-FLOOR(Table1[[#This Row],[Form ID]],100))&lt;10,Details_Filtered!$AA$1:$AA$8,Details_Filtered!$Z$1:$Z$8))+1+COUNTA(_xlfn._xlws.FILTER($B$2:B48,($B$2:B48=Table1[[#This Row],[Class]])*($H$2:H48=H49),""))-IF(_xlfn._xlws.FILTER($B$2:B48,($B$2:B48=Table1[[#This Row],[Class]])*($H$2:H48=H49),"")="",1,0),"")</f>
        <v/>
      </c>
      <c r="E49" s="17" t="str">
        <f>IF(F49&lt;&gt;"",_xlfn.XLOOKUP(TEXT(F49,"#"),'Att log'!$B$6:$B$501,'Att log'!$A$6:$A$501,"X"),"")</f>
        <v/>
      </c>
      <c r="F49" s="17"/>
      <c r="H49" s="18" t="str">
        <f>IFERROR(IF((Table1[[#This Row],[Form ID]]-FLOOR(Table1[[#This Row],[Form ID]],100))&lt;10,10,100),"")</f>
        <v/>
      </c>
    </row>
    <row r="50" spans="3:8" x14ac:dyDescent="0.25">
      <c r="C50" s="5" t="str" cm="1">
        <f t="array" ref="C50">IFERROR(_xlfn.XLOOKUP(Table1[[#This Row],[Class]],Details_Filtered!$Y$1:$Y$8,IF((Table1[[#This Row],[Form ID]]-FLOOR(Table1[[#This Row],[Form ID]],100))&lt;10,Details_Filtered!$AA$1:$AA$8,Details_Filtered!$Z$1:$Z$8))+1+COUNTA(_xlfn._xlws.FILTER($B$2:B49,($B$2:B49=Table1[[#This Row],[Class]])*($H$2:H49=H50),""))-IF(_xlfn._xlws.FILTER($B$2:B49,($B$2:B49=Table1[[#This Row],[Class]])*($H$2:H49=H50),"")="",1,0),"")</f>
        <v/>
      </c>
      <c r="E50" s="17" t="str">
        <f>IF(F50&lt;&gt;"",_xlfn.XLOOKUP(TEXT(F50,"#"),'Att log'!$B$6:$B$501,'Att log'!$A$6:$A$501,"X"),"")</f>
        <v/>
      </c>
      <c r="F50" s="17"/>
      <c r="H50" s="18" t="str">
        <f>IFERROR(IF((Table1[[#This Row],[Form ID]]-FLOOR(Table1[[#This Row],[Form ID]],100))&lt;10,10,100),"")</f>
        <v/>
      </c>
    </row>
    <row r="51" spans="3:8" x14ac:dyDescent="0.25">
      <c r="C51" s="5" t="str" cm="1">
        <f t="array" ref="C51">IFERROR(_xlfn.XLOOKUP(Table1[[#This Row],[Class]],Details_Filtered!$Y$1:$Y$8,IF((Table1[[#This Row],[Form ID]]-FLOOR(Table1[[#This Row],[Form ID]],100))&lt;10,Details_Filtered!$AA$1:$AA$8,Details_Filtered!$Z$1:$Z$8))+1+COUNTA(_xlfn._xlws.FILTER($B$2:B50,($B$2:B50=Table1[[#This Row],[Class]])*($H$2:H50=H51),""))-IF(_xlfn._xlws.FILTER($B$2:B50,($B$2:B50=Table1[[#This Row],[Class]])*($H$2:H50=H51),"")="",1,0),"")</f>
        <v/>
      </c>
      <c r="E51" s="17" t="str">
        <f>IF(F51&lt;&gt;"",_xlfn.XLOOKUP(TEXT(F51,"#"),'Att log'!$B$6:$B$501,'Att log'!$A$6:$A$501,"X"),"")</f>
        <v/>
      </c>
      <c r="F51" s="17"/>
      <c r="H51" s="18" t="str">
        <f>IFERROR(IF((Table1[[#This Row],[Form ID]]-FLOOR(Table1[[#This Row],[Form ID]],100))&lt;10,10,100),"")</f>
        <v/>
      </c>
    </row>
    <row r="52" spans="3:8" x14ac:dyDescent="0.25">
      <c r="C52" s="5" t="str" cm="1">
        <f t="array" ref="C52">IFERROR(_xlfn.XLOOKUP(Table1[[#This Row],[Class]],Details_Filtered!$Y$1:$Y$8,IF((Table1[[#This Row],[Form ID]]-FLOOR(Table1[[#This Row],[Form ID]],100))&lt;10,Details_Filtered!$AA$1:$AA$8,Details_Filtered!$Z$1:$Z$8))+1+COUNTA(_xlfn._xlws.FILTER($B$2:B51,($B$2:B51=Table1[[#This Row],[Class]])*($H$2:H51=H52),""))-IF(_xlfn._xlws.FILTER($B$2:B51,($B$2:B51=Table1[[#This Row],[Class]])*($H$2:H51=H52),"")="",1,0),"")</f>
        <v/>
      </c>
      <c r="E52" s="17" t="str">
        <f>IF(F52&lt;&gt;"",_xlfn.XLOOKUP(TEXT(F52,"#"),'Att log'!$B$6:$B$501,'Att log'!$A$6:$A$501,"X"),"")</f>
        <v/>
      </c>
      <c r="F52" s="17"/>
      <c r="H52" s="18" t="str">
        <f>IFERROR(IF((Table1[[#This Row],[Form ID]]-FLOOR(Table1[[#This Row],[Form ID]],100))&lt;10,10,100),"")</f>
        <v/>
      </c>
    </row>
    <row r="53" spans="3:8" x14ac:dyDescent="0.25">
      <c r="C53" s="5" t="str" cm="1">
        <f t="array" ref="C53">IFERROR(_xlfn.XLOOKUP(Table1[[#This Row],[Class]],Details_Filtered!$Y$1:$Y$8,IF((Table1[[#This Row],[Form ID]]-FLOOR(Table1[[#This Row],[Form ID]],100))&lt;10,Details_Filtered!$AA$1:$AA$8,Details_Filtered!$Z$1:$Z$8))+1+COUNTA(_xlfn._xlws.FILTER($B$2:B52,($B$2:B52=Table1[[#This Row],[Class]])*($H$2:H52=H53),""))-IF(_xlfn._xlws.FILTER($B$2:B52,($B$2:B52=Table1[[#This Row],[Class]])*($H$2:H52=H53),"")="",1,0),"")</f>
        <v/>
      </c>
      <c r="E53" s="17" t="str">
        <f>IF(F53&lt;&gt;"",_xlfn.XLOOKUP(TEXT(F53,"#"),'Att log'!$B$6:$B$501,'Att log'!$A$6:$A$501,"X"),"")</f>
        <v/>
      </c>
      <c r="F53" s="17"/>
      <c r="H53" s="18" t="str">
        <f>IFERROR(IF((Table1[[#This Row],[Form ID]]-FLOOR(Table1[[#This Row],[Form ID]],100))&lt;10,10,100),"")</f>
        <v/>
      </c>
    </row>
    <row r="54" spans="3:8" x14ac:dyDescent="0.25">
      <c r="C54" s="5" t="str" cm="1">
        <f t="array" ref="C54">IFERROR(_xlfn.XLOOKUP(Table1[[#This Row],[Class]],Details_Filtered!$Y$1:$Y$8,IF((Table1[[#This Row],[Form ID]]-FLOOR(Table1[[#This Row],[Form ID]],100))&lt;10,Details_Filtered!$AA$1:$AA$8,Details_Filtered!$Z$1:$Z$8))+1+COUNTA(_xlfn._xlws.FILTER($B$2:B53,($B$2:B53=Table1[[#This Row],[Class]])*($H$2:H53=H54),""))-IF(_xlfn._xlws.FILTER($B$2:B53,($B$2:B53=Table1[[#This Row],[Class]])*($H$2:H53=H54),"")="",1,0),"")</f>
        <v/>
      </c>
      <c r="E54" s="17" t="str">
        <f>IF(F54&lt;&gt;"",_xlfn.XLOOKUP(TEXT(F54,"#"),'Att log'!$B$6:$B$501,'Att log'!$A$6:$A$501,"X"),"")</f>
        <v/>
      </c>
      <c r="F54" s="17"/>
      <c r="H54" s="18" t="str">
        <f>IFERROR(IF((Table1[[#This Row],[Form ID]]-FLOOR(Table1[[#This Row],[Form ID]],100))&lt;10,10,100),"")</f>
        <v/>
      </c>
    </row>
    <row r="55" spans="3:8" x14ac:dyDescent="0.25">
      <c r="C55" s="5" t="str" cm="1">
        <f t="array" ref="C55">IFERROR(_xlfn.XLOOKUP(Table1[[#This Row],[Class]],Details_Filtered!$Y$1:$Y$8,IF((Table1[[#This Row],[Form ID]]-FLOOR(Table1[[#This Row],[Form ID]],100))&lt;10,Details_Filtered!$AA$1:$AA$8,Details_Filtered!$Z$1:$Z$8))+1+COUNTA(_xlfn._xlws.FILTER($B$2:B54,($B$2:B54=Table1[[#This Row],[Class]])*($H$2:H54=H55),""))-IF(_xlfn._xlws.FILTER($B$2:B54,($B$2:B54=Table1[[#This Row],[Class]])*($H$2:H54=H55),"")="",1,0),"")</f>
        <v/>
      </c>
      <c r="E55" s="17" t="str">
        <f>IF(F55&lt;&gt;"",_xlfn.XLOOKUP(TEXT(F55,"#"),'Att log'!$B$6:$B$501,'Att log'!$A$6:$A$501,"X"),"")</f>
        <v/>
      </c>
      <c r="F55" s="17"/>
      <c r="H55" s="18" t="str">
        <f>IFERROR(IF((Table1[[#This Row],[Form ID]]-FLOOR(Table1[[#This Row],[Form ID]],100))&lt;10,10,100),"")</f>
        <v/>
      </c>
    </row>
    <row r="56" spans="3:8" x14ac:dyDescent="0.25">
      <c r="C56" s="5" t="str" cm="1">
        <f t="array" ref="C56">IFERROR(_xlfn.XLOOKUP(Table1[[#This Row],[Class]],Details_Filtered!$Y$1:$Y$8,IF((Table1[[#This Row],[Form ID]]-FLOOR(Table1[[#This Row],[Form ID]],100))&lt;10,Details_Filtered!$AA$1:$AA$8,Details_Filtered!$Z$1:$Z$8))+1+COUNTA(_xlfn._xlws.FILTER($B$2:B55,($B$2:B55=Table1[[#This Row],[Class]])*($H$2:H55=H56),""))-IF(_xlfn._xlws.FILTER($B$2:B55,($B$2:B55=Table1[[#This Row],[Class]])*($H$2:H55=H56),"")="",1,0),"")</f>
        <v/>
      </c>
      <c r="E56" s="17" t="str">
        <f>IF(F56&lt;&gt;"",_xlfn.XLOOKUP(TEXT(F56,"#"),'Att log'!$B$6:$B$501,'Att log'!$A$6:$A$501,"X"),"")</f>
        <v/>
      </c>
      <c r="F56" s="17"/>
      <c r="H56" s="18" t="str">
        <f>IFERROR(IF((Table1[[#This Row],[Form ID]]-FLOOR(Table1[[#This Row],[Form ID]],100))&lt;10,10,100),"")</f>
        <v/>
      </c>
    </row>
    <row r="57" spans="3:8" x14ac:dyDescent="0.25">
      <c r="C57" s="5" t="str" cm="1">
        <f t="array" ref="C57">IFERROR(_xlfn.XLOOKUP(Table1[[#This Row],[Class]],Details_Filtered!$Y$1:$Y$8,IF((Table1[[#This Row],[Form ID]]-FLOOR(Table1[[#This Row],[Form ID]],100))&lt;10,Details_Filtered!$AA$1:$AA$8,Details_Filtered!$Z$1:$Z$8))+1+COUNTA(_xlfn._xlws.FILTER($B$2:B56,($B$2:B56=Table1[[#This Row],[Class]])*($H$2:H56=H57),""))-IF(_xlfn._xlws.FILTER($B$2:B56,($B$2:B56=Table1[[#This Row],[Class]])*($H$2:H56=H57),"")="",1,0),"")</f>
        <v/>
      </c>
      <c r="E57" s="17" t="str">
        <f>IF(F57&lt;&gt;"",_xlfn.XLOOKUP(TEXT(F57,"#"),'Att log'!$B$6:$B$501,'Att log'!$A$6:$A$501,"X"),"")</f>
        <v/>
      </c>
      <c r="F57" s="17"/>
      <c r="H57" s="18" t="str">
        <f>IFERROR(IF((Table1[[#This Row],[Form ID]]-FLOOR(Table1[[#This Row],[Form ID]],100))&lt;10,10,100),"")</f>
        <v/>
      </c>
    </row>
    <row r="58" spans="3:8" x14ac:dyDescent="0.25">
      <c r="C58" s="5" t="str" cm="1">
        <f t="array" ref="C58">IFERROR(_xlfn.XLOOKUP(Table1[[#This Row],[Class]],Details_Filtered!$Y$1:$Y$8,IF((Table1[[#This Row],[Form ID]]-FLOOR(Table1[[#This Row],[Form ID]],100))&lt;10,Details_Filtered!$AA$1:$AA$8,Details_Filtered!$Z$1:$Z$8))+1+COUNTA(_xlfn._xlws.FILTER($B$2:B57,($B$2:B57=Table1[[#This Row],[Class]])*($H$2:H57=H58),""))-IF(_xlfn._xlws.FILTER($B$2:B57,($B$2:B57=Table1[[#This Row],[Class]])*($H$2:H57=H58),"")="",1,0),"")</f>
        <v/>
      </c>
      <c r="E58" s="17" t="str">
        <f>IF(F58&lt;&gt;"",_xlfn.XLOOKUP(TEXT(F58,"#"),'Att log'!$B$6:$B$501,'Att log'!$A$6:$A$501,"X"),"")</f>
        <v/>
      </c>
      <c r="F58" s="17"/>
      <c r="H58" s="18" t="str">
        <f>IFERROR(IF((Table1[[#This Row],[Form ID]]-FLOOR(Table1[[#This Row],[Form ID]],100))&lt;10,10,100),"")</f>
        <v/>
      </c>
    </row>
    <row r="59" spans="3:8" x14ac:dyDescent="0.25">
      <c r="C59" s="5" t="str" cm="1">
        <f t="array" ref="C59">IFERROR(_xlfn.XLOOKUP(Table1[[#This Row],[Class]],Details_Filtered!$Y$1:$Y$8,IF((Table1[[#This Row],[Form ID]]-FLOOR(Table1[[#This Row],[Form ID]],100))&lt;10,Details_Filtered!$AA$1:$AA$8,Details_Filtered!$Z$1:$Z$8))+1+COUNTA(_xlfn._xlws.FILTER($B$2:B58,($B$2:B58=Table1[[#This Row],[Class]])*($H$2:H58=H59),""))-IF(_xlfn._xlws.FILTER($B$2:B58,($B$2:B58=Table1[[#This Row],[Class]])*($H$2:H58=H59),"")="",1,0),"")</f>
        <v/>
      </c>
      <c r="E59" s="17" t="str">
        <f>IF(F59&lt;&gt;"",_xlfn.XLOOKUP(TEXT(F59,"#"),'Att log'!$B$6:$B$501,'Att log'!$A$6:$A$501,"X"),"")</f>
        <v/>
      </c>
      <c r="F59" s="17"/>
      <c r="H59" s="18" t="str">
        <f>IFERROR(IF((Table1[[#This Row],[Form ID]]-FLOOR(Table1[[#This Row],[Form ID]],100))&lt;10,10,100),"")</f>
        <v/>
      </c>
    </row>
    <row r="60" spans="3:8" x14ac:dyDescent="0.25">
      <c r="C60" s="5" t="str" cm="1">
        <f t="array" ref="C60">IFERROR(_xlfn.XLOOKUP(Table1[[#This Row],[Class]],Details_Filtered!$Y$1:$Y$8,IF((Table1[[#This Row],[Form ID]]-FLOOR(Table1[[#This Row],[Form ID]],100))&lt;10,Details_Filtered!$AA$1:$AA$8,Details_Filtered!$Z$1:$Z$8))+1+COUNTA(_xlfn._xlws.FILTER($B$2:B59,($B$2:B59=Table1[[#This Row],[Class]])*($H$2:H59=H60),""))-IF(_xlfn._xlws.FILTER($B$2:B59,($B$2:B59=Table1[[#This Row],[Class]])*($H$2:H59=H60),"")="",1,0),"")</f>
        <v/>
      </c>
      <c r="E60" s="17" t="str">
        <f>IF(F60&lt;&gt;"",_xlfn.XLOOKUP(TEXT(F60,"#"),'Att log'!$B$6:$B$501,'Att log'!$A$6:$A$501,"X"),"")</f>
        <v/>
      </c>
      <c r="F60" s="17"/>
      <c r="H60" s="18" t="str">
        <f>IFERROR(IF((Table1[[#This Row],[Form ID]]-FLOOR(Table1[[#This Row],[Form ID]],100))&lt;10,10,100),"")</f>
        <v/>
      </c>
    </row>
    <row r="61" spans="3:8" x14ac:dyDescent="0.25">
      <c r="C61" s="5" t="str" cm="1">
        <f t="array" ref="C61">IFERROR(_xlfn.XLOOKUP(Table1[[#This Row],[Class]],Details_Filtered!$Y$1:$Y$8,IF((Table1[[#This Row],[Form ID]]-FLOOR(Table1[[#This Row],[Form ID]],100))&lt;10,Details_Filtered!$AA$1:$AA$8,Details_Filtered!$Z$1:$Z$8))+1+COUNTA(_xlfn._xlws.FILTER($B$2:B60,($B$2:B60=Table1[[#This Row],[Class]])*($H$2:H60=H61),""))-IF(_xlfn._xlws.FILTER($B$2:B60,($B$2:B60=Table1[[#This Row],[Class]])*($H$2:H60=H61),"")="",1,0),"")</f>
        <v/>
      </c>
      <c r="E61" s="17" t="str">
        <f>IF(F61&lt;&gt;"",_xlfn.XLOOKUP(TEXT(F61,"#"),'Att log'!$B$6:$B$501,'Att log'!$A$6:$A$501,"X"),"")</f>
        <v/>
      </c>
      <c r="F61" s="17"/>
      <c r="H61" s="18" t="str">
        <f>IFERROR(IF((Table1[[#This Row],[Form ID]]-FLOOR(Table1[[#This Row],[Form ID]],100))&lt;10,10,100),"")</f>
        <v/>
      </c>
    </row>
    <row r="62" spans="3:8" x14ac:dyDescent="0.25">
      <c r="C62" s="5" t="str" cm="1">
        <f t="array" ref="C62">IFERROR(_xlfn.XLOOKUP(Table1[[#This Row],[Class]],Details_Filtered!$Y$1:$Y$8,IF((Table1[[#This Row],[Form ID]]-FLOOR(Table1[[#This Row],[Form ID]],100))&lt;10,Details_Filtered!$AA$1:$AA$8,Details_Filtered!$Z$1:$Z$8))+1+COUNTA(_xlfn._xlws.FILTER($B$2:B61,($B$2:B61=Table1[[#This Row],[Class]])*($H$2:H61=H62),""))-IF(_xlfn._xlws.FILTER($B$2:B61,($B$2:B61=Table1[[#This Row],[Class]])*($H$2:H61=H62),"")="",1,0),"")</f>
        <v/>
      </c>
      <c r="E62" s="17" t="str">
        <f>IF(F62&lt;&gt;"",_xlfn.XLOOKUP(TEXT(F62,"#"),'Att log'!$B$6:$B$501,'Att log'!$A$6:$A$501,"X"),"")</f>
        <v/>
      </c>
      <c r="F62" s="17"/>
      <c r="H62" s="18" t="str">
        <f>IFERROR(IF((Table1[[#This Row],[Form ID]]-FLOOR(Table1[[#This Row],[Form ID]],100))&lt;10,10,100),"")</f>
        <v/>
      </c>
    </row>
    <row r="63" spans="3:8" x14ac:dyDescent="0.25">
      <c r="C63" s="5" t="str" cm="1">
        <f t="array" ref="C63">IFERROR(_xlfn.XLOOKUP(Table1[[#This Row],[Class]],Details_Filtered!$Y$1:$Y$8,IF((Table1[[#This Row],[Form ID]]-FLOOR(Table1[[#This Row],[Form ID]],100))&lt;10,Details_Filtered!$AA$1:$AA$8,Details_Filtered!$Z$1:$Z$8))+1+COUNTA(_xlfn._xlws.FILTER($B$2:B62,($B$2:B62=Table1[[#This Row],[Class]])*($H$2:H62=H63),""))-IF(_xlfn._xlws.FILTER($B$2:B62,($B$2:B62=Table1[[#This Row],[Class]])*($H$2:H62=H63),"")="",1,0),"")</f>
        <v/>
      </c>
      <c r="E63" s="17" t="str">
        <f>IF(F63&lt;&gt;"",_xlfn.XLOOKUP(TEXT(F63,"#"),'Att log'!$B$6:$B$501,'Att log'!$A$6:$A$501,"X"),"")</f>
        <v/>
      </c>
      <c r="F63" s="17"/>
      <c r="H63" s="18" t="str">
        <f>IFERROR(IF((Table1[[#This Row],[Form ID]]-FLOOR(Table1[[#This Row],[Form ID]],100))&lt;10,10,100),"")</f>
        <v/>
      </c>
    </row>
    <row r="64" spans="3:8" x14ac:dyDescent="0.25">
      <c r="C64" s="5" t="str" cm="1">
        <f t="array" ref="C64">IFERROR(_xlfn.XLOOKUP(Table1[[#This Row],[Class]],Details_Filtered!$Y$1:$Y$8,IF((Table1[[#This Row],[Form ID]]-FLOOR(Table1[[#This Row],[Form ID]],100))&lt;10,Details_Filtered!$AA$1:$AA$8,Details_Filtered!$Z$1:$Z$8))+1+COUNTA(_xlfn._xlws.FILTER($B$2:B63,($B$2:B63=Table1[[#This Row],[Class]])*($H$2:H63=H64),""))-IF(_xlfn._xlws.FILTER($B$2:B63,($B$2:B63=Table1[[#This Row],[Class]])*($H$2:H63=H64),"")="",1,0),"")</f>
        <v/>
      </c>
      <c r="E64" s="17" t="str">
        <f>IF(F64&lt;&gt;"",_xlfn.XLOOKUP(TEXT(F64,"#"),'Att log'!$B$6:$B$501,'Att log'!$A$6:$A$501,"X"),"")</f>
        <v/>
      </c>
      <c r="F64" s="17"/>
      <c r="H64" s="18" t="str">
        <f>IFERROR(IF((Table1[[#This Row],[Form ID]]-FLOOR(Table1[[#This Row],[Form ID]],100))&lt;10,10,100),"")</f>
        <v/>
      </c>
    </row>
    <row r="65" spans="3:8" x14ac:dyDescent="0.25">
      <c r="C65" s="5" t="str" cm="1">
        <f t="array" ref="C65">IFERROR(_xlfn.XLOOKUP(Table1[[#This Row],[Class]],Details_Filtered!$Y$1:$Y$8,IF((Table1[[#This Row],[Form ID]]-FLOOR(Table1[[#This Row],[Form ID]],100))&lt;10,Details_Filtered!$AA$1:$AA$8,Details_Filtered!$Z$1:$Z$8))+1+COUNTA(_xlfn._xlws.FILTER($B$2:B64,($B$2:B64=Table1[[#This Row],[Class]])*($H$2:H64=H65),""))-IF(_xlfn._xlws.FILTER($B$2:B64,($B$2:B64=Table1[[#This Row],[Class]])*($H$2:H64=H65),"")="",1,0),"")</f>
        <v/>
      </c>
      <c r="E65" s="17" t="str">
        <f>IF(F65&lt;&gt;"",_xlfn.XLOOKUP(TEXT(F65,"#"),'Att log'!$B$6:$B$501,'Att log'!$A$6:$A$501,"X"),"")</f>
        <v/>
      </c>
      <c r="F65" s="17"/>
      <c r="H65" s="18" t="str">
        <f>IFERROR(IF((Table1[[#This Row],[Form ID]]-FLOOR(Table1[[#This Row],[Form ID]],100))&lt;10,10,100),"")</f>
        <v/>
      </c>
    </row>
    <row r="66" spans="3:8" x14ac:dyDescent="0.25">
      <c r="C66" s="5" t="str" cm="1">
        <f t="array" ref="C66">IFERROR(_xlfn.XLOOKUP(Table1[[#This Row],[Class]],Details_Filtered!$Y$1:$Y$8,IF((Table1[[#This Row],[Form ID]]-FLOOR(Table1[[#This Row],[Form ID]],100))&lt;10,Details_Filtered!$AA$1:$AA$8,Details_Filtered!$Z$1:$Z$8))+1+COUNTA(_xlfn._xlws.FILTER($B$2:B65,($B$2:B65=Table1[[#This Row],[Class]])*($H$2:H65=H66),""))-IF(_xlfn._xlws.FILTER($B$2:B65,($B$2:B65=Table1[[#This Row],[Class]])*($H$2:H65=H66),"")="",1,0),"")</f>
        <v/>
      </c>
      <c r="E66" s="17" t="str">
        <f>IF(F66&lt;&gt;"",_xlfn.XLOOKUP(TEXT(F66,"#"),'Att log'!$B$6:$B$501,'Att log'!$A$6:$A$501,"X"),"")</f>
        <v/>
      </c>
      <c r="F66" s="17"/>
      <c r="H66" s="18" t="str">
        <f>IFERROR(IF((Table1[[#This Row],[Form ID]]-FLOOR(Table1[[#This Row],[Form ID]],100))&lt;10,10,100),"")</f>
        <v/>
      </c>
    </row>
    <row r="67" spans="3:8" x14ac:dyDescent="0.25">
      <c r="C67" s="5" t="str" cm="1">
        <f t="array" ref="C67">IFERROR(_xlfn.XLOOKUP(Table1[[#This Row],[Class]],Details_Filtered!$Y$1:$Y$8,IF((Table1[[#This Row],[Form ID]]-FLOOR(Table1[[#This Row],[Form ID]],100))&lt;10,Details_Filtered!$AA$1:$AA$8,Details_Filtered!$Z$1:$Z$8))+1+COUNTA(_xlfn._xlws.FILTER($B$2:B66,($B$2:B66=Table1[[#This Row],[Class]])*($H$2:H66=H67),""))-IF(_xlfn._xlws.FILTER($B$2:B66,($B$2:B66=Table1[[#This Row],[Class]])*($H$2:H66=H67),"")="",1,0),"")</f>
        <v/>
      </c>
      <c r="E67" s="17" t="str">
        <f>IF(F67&lt;&gt;"",_xlfn.XLOOKUP(TEXT(F67,"#"),'Att log'!$B$6:$B$501,'Att log'!$A$6:$A$501,"X"),"")</f>
        <v/>
      </c>
      <c r="F67" s="17"/>
      <c r="H67" s="18" t="str">
        <f>IFERROR(IF((Table1[[#This Row],[Form ID]]-FLOOR(Table1[[#This Row],[Form ID]],100))&lt;10,10,100),"")</f>
        <v/>
      </c>
    </row>
    <row r="68" spans="3:8" x14ac:dyDescent="0.25">
      <c r="C68" s="5" t="str" cm="1">
        <f t="array" ref="C68">IFERROR(_xlfn.XLOOKUP(Table1[[#This Row],[Class]],Details_Filtered!$Y$1:$Y$8,IF((Table1[[#This Row],[Form ID]]-FLOOR(Table1[[#This Row],[Form ID]],100))&lt;10,Details_Filtered!$AA$1:$AA$8,Details_Filtered!$Z$1:$Z$8))+1+COUNTA(_xlfn._xlws.FILTER($B$2:B67,($B$2:B67=Table1[[#This Row],[Class]])*($H$2:H67=H68),""))-IF(_xlfn._xlws.FILTER($B$2:B67,($B$2:B67=Table1[[#This Row],[Class]])*($H$2:H67=H68),"")="",1,0),"")</f>
        <v/>
      </c>
      <c r="E68" s="17" t="str">
        <f>IF(F68&lt;&gt;"",_xlfn.XLOOKUP(TEXT(F68,"#"),'Att log'!$B$6:$B$501,'Att log'!$A$6:$A$501,"X"),"")</f>
        <v/>
      </c>
      <c r="F68" s="17"/>
      <c r="H68" s="18" t="str">
        <f>IFERROR(IF((Table1[[#This Row],[Form ID]]-FLOOR(Table1[[#This Row],[Form ID]],100))&lt;10,10,100),"")</f>
        <v/>
      </c>
    </row>
    <row r="69" spans="3:8" x14ac:dyDescent="0.25">
      <c r="C69" s="5" t="str" cm="1">
        <f t="array" ref="C69">IFERROR(_xlfn.XLOOKUP(Table1[[#This Row],[Class]],Details_Filtered!$Y$1:$Y$8,IF((Table1[[#This Row],[Form ID]]-FLOOR(Table1[[#This Row],[Form ID]],100))&lt;10,Details_Filtered!$AA$1:$AA$8,Details_Filtered!$Z$1:$Z$8))+1+COUNTA(_xlfn._xlws.FILTER($B$2:B68,($B$2:B68=Table1[[#This Row],[Class]])*($H$2:H68=H69),""))-IF(_xlfn._xlws.FILTER($B$2:B68,($B$2:B68=Table1[[#This Row],[Class]])*($H$2:H68=H69),"")="",1,0),"")</f>
        <v/>
      </c>
      <c r="E69" s="17" t="str">
        <f>IF(F69&lt;&gt;"",_xlfn.XLOOKUP(TEXT(F69,"#"),'Att log'!$B$6:$B$501,'Att log'!$A$6:$A$501,"X"),"")</f>
        <v/>
      </c>
      <c r="F69" s="17"/>
      <c r="H69" s="18" t="str">
        <f>IFERROR(IF((Table1[[#This Row],[Form ID]]-FLOOR(Table1[[#This Row],[Form ID]],100))&lt;10,10,100),"")</f>
        <v/>
      </c>
    </row>
    <row r="70" spans="3:8" x14ac:dyDescent="0.25">
      <c r="C70" s="5" t="str" cm="1">
        <f t="array" ref="C70">IFERROR(_xlfn.XLOOKUP(Table1[[#This Row],[Class]],Details_Filtered!$Y$1:$Y$8,IF((Table1[[#This Row],[Form ID]]-FLOOR(Table1[[#This Row],[Form ID]],100))&lt;10,Details_Filtered!$AA$1:$AA$8,Details_Filtered!$Z$1:$Z$8))+1+COUNTA(_xlfn._xlws.FILTER($B$2:B69,($B$2:B69=Table1[[#This Row],[Class]])*($H$2:H69=H70),""))-IF(_xlfn._xlws.FILTER($B$2:B69,($B$2:B69=Table1[[#This Row],[Class]])*($H$2:H69=H70),"")="",1,0),"")</f>
        <v/>
      </c>
      <c r="E70" s="17" t="str">
        <f>IF(F70&lt;&gt;"",_xlfn.XLOOKUP(TEXT(F70,"#"),'Att log'!$B$6:$B$501,'Att log'!$A$6:$A$501,"X"),"")</f>
        <v/>
      </c>
      <c r="F70" s="17"/>
      <c r="H70" s="18" t="str">
        <f>IFERROR(IF((Table1[[#This Row],[Form ID]]-FLOOR(Table1[[#This Row],[Form ID]],100))&lt;10,10,100),"")</f>
        <v/>
      </c>
    </row>
    <row r="71" spans="3:8" x14ac:dyDescent="0.25">
      <c r="C71" s="5" t="str" cm="1">
        <f t="array" ref="C71">IFERROR(_xlfn.XLOOKUP(Table1[[#This Row],[Class]],Details_Filtered!$Y$1:$Y$8,IF((Table1[[#This Row],[Form ID]]-FLOOR(Table1[[#This Row],[Form ID]],100))&lt;10,Details_Filtered!$AA$1:$AA$8,Details_Filtered!$Z$1:$Z$8))+1+COUNTA(_xlfn._xlws.FILTER($B$2:B70,($B$2:B70=Table1[[#This Row],[Class]])*($H$2:H70=H71),""))-IF(_xlfn._xlws.FILTER($B$2:B70,($B$2:B70=Table1[[#This Row],[Class]])*($H$2:H70=H71),"")="",1,0),"")</f>
        <v/>
      </c>
      <c r="E71" s="17" t="str">
        <f>IF(F71&lt;&gt;"",_xlfn.XLOOKUP(TEXT(F71,"#"),'Att log'!$B$6:$B$501,'Att log'!$A$6:$A$501,"X"),"")</f>
        <v/>
      </c>
      <c r="F71" s="17"/>
      <c r="H71" s="18" t="str">
        <f>IFERROR(IF((Table1[[#This Row],[Form ID]]-FLOOR(Table1[[#This Row],[Form ID]],100))&lt;10,10,100),"")</f>
        <v/>
      </c>
    </row>
    <row r="72" spans="3:8" x14ac:dyDescent="0.25">
      <c r="C72" s="5" t="str" cm="1">
        <f t="array" ref="C72">IFERROR(_xlfn.XLOOKUP(Table1[[#This Row],[Class]],Details_Filtered!$Y$1:$Y$8,IF((Table1[[#This Row],[Form ID]]-FLOOR(Table1[[#This Row],[Form ID]],100))&lt;10,Details_Filtered!$AA$1:$AA$8,Details_Filtered!$Z$1:$Z$8))+1+COUNTA(_xlfn._xlws.FILTER($B$2:B71,($B$2:B71=Table1[[#This Row],[Class]])*($H$2:H71=H72),""))-IF(_xlfn._xlws.FILTER($B$2:B71,($B$2:B71=Table1[[#This Row],[Class]])*($H$2:H71=H72),"")="",1,0),"")</f>
        <v/>
      </c>
      <c r="E72" s="17" t="str">
        <f>IF(F72&lt;&gt;"",_xlfn.XLOOKUP(TEXT(F72,"#"),'Att log'!$B$6:$B$501,'Att log'!$A$6:$A$501,"X"),"")</f>
        <v/>
      </c>
      <c r="F72" s="17"/>
      <c r="H72" s="18" t="str">
        <f>IFERROR(IF((Table1[[#This Row],[Form ID]]-FLOOR(Table1[[#This Row],[Form ID]],100))&lt;10,10,100),"")</f>
        <v/>
      </c>
    </row>
    <row r="73" spans="3:8" x14ac:dyDescent="0.25">
      <c r="C73" s="5" t="str" cm="1">
        <f t="array" ref="C73">IFERROR(_xlfn.XLOOKUP(Table1[[#This Row],[Class]],Details_Filtered!$Y$1:$Y$8,IF((Table1[[#This Row],[Form ID]]-FLOOR(Table1[[#This Row],[Form ID]],100))&lt;10,Details_Filtered!$AA$1:$AA$8,Details_Filtered!$Z$1:$Z$8))+1+COUNTA(_xlfn._xlws.FILTER($B$2:B72,($B$2:B72=Table1[[#This Row],[Class]])*($H$2:H72=H73),""))-IF(_xlfn._xlws.FILTER($B$2:B72,($B$2:B72=Table1[[#This Row],[Class]])*($H$2:H72=H73),"")="",1,0),"")</f>
        <v/>
      </c>
      <c r="E73" s="17" t="str">
        <f>IF(F73&lt;&gt;"",_xlfn.XLOOKUP(TEXT(F73,"#"),'Att log'!$B$6:$B$501,'Att log'!$A$6:$A$501,"X"),"")</f>
        <v/>
      </c>
      <c r="F73" s="17"/>
      <c r="H73" s="18" t="str">
        <f>IFERROR(IF((Table1[[#This Row],[Form ID]]-FLOOR(Table1[[#This Row],[Form ID]],100))&lt;10,10,100),"")</f>
        <v/>
      </c>
    </row>
    <row r="74" spans="3:8" x14ac:dyDescent="0.25">
      <c r="C74" s="5" t="str" cm="1">
        <f t="array" ref="C74">IFERROR(_xlfn.XLOOKUP(Table1[[#This Row],[Class]],Details_Filtered!$Y$1:$Y$8,IF((Table1[[#This Row],[Form ID]]-FLOOR(Table1[[#This Row],[Form ID]],100))&lt;10,Details_Filtered!$AA$1:$AA$8,Details_Filtered!$Z$1:$Z$8))+1+COUNTA(_xlfn._xlws.FILTER($B$2:B73,($B$2:B73=Table1[[#This Row],[Class]])*($H$2:H73=H74),""))-IF(_xlfn._xlws.FILTER($B$2:B73,($B$2:B73=Table1[[#This Row],[Class]])*($H$2:H73=H74),"")="",1,0),"")</f>
        <v/>
      </c>
      <c r="E74" s="17" t="str">
        <f>IF(F74&lt;&gt;"",_xlfn.XLOOKUP(TEXT(F74,"#"),'Att log'!$B$6:$B$501,'Att log'!$A$6:$A$501,"X"),"")</f>
        <v/>
      </c>
      <c r="F74" s="17"/>
      <c r="H74" s="18" t="str">
        <f>IFERROR(IF((Table1[[#This Row],[Form ID]]-FLOOR(Table1[[#This Row],[Form ID]],100))&lt;10,10,100),"")</f>
        <v/>
      </c>
    </row>
    <row r="75" spans="3:8" x14ac:dyDescent="0.25">
      <c r="C75" s="5" t="str" cm="1">
        <f t="array" ref="C75">IFERROR(_xlfn.XLOOKUP(Table1[[#This Row],[Class]],Details_Filtered!$Y$1:$Y$8,IF((Table1[[#This Row],[Form ID]]-FLOOR(Table1[[#This Row],[Form ID]],100))&lt;10,Details_Filtered!$AA$1:$AA$8,Details_Filtered!$Z$1:$Z$8))+1+COUNTA(_xlfn._xlws.FILTER($B$2:B74,($B$2:B74=Table1[[#This Row],[Class]])*($H$2:H74=H75),""))-IF(_xlfn._xlws.FILTER($B$2:B74,($B$2:B74=Table1[[#This Row],[Class]])*($H$2:H74=H75),"")="",1,0),"")</f>
        <v/>
      </c>
      <c r="E75" s="17" t="str">
        <f>IF(F75&lt;&gt;"",_xlfn.XLOOKUP(TEXT(F75,"#"),'Att log'!$B$6:$B$501,'Att log'!$A$6:$A$501,"X"),"")</f>
        <v/>
      </c>
      <c r="F75" s="17"/>
      <c r="H75" s="18" t="str">
        <f>IFERROR(IF((Table1[[#This Row],[Form ID]]-FLOOR(Table1[[#This Row],[Form ID]],100))&lt;10,10,100),"")</f>
        <v/>
      </c>
    </row>
    <row r="76" spans="3:8" x14ac:dyDescent="0.25">
      <c r="C76" s="5" t="str" cm="1">
        <f t="array" ref="C76">IFERROR(_xlfn.XLOOKUP(Table1[[#This Row],[Class]],Details_Filtered!$Y$1:$Y$8,IF((Table1[[#This Row],[Form ID]]-FLOOR(Table1[[#This Row],[Form ID]],100))&lt;10,Details_Filtered!$AA$1:$AA$8,Details_Filtered!$Z$1:$Z$8))+1+COUNTA(_xlfn._xlws.FILTER($B$2:B75,($B$2:B75=Table1[[#This Row],[Class]])*($H$2:H75=H76),""))-IF(_xlfn._xlws.FILTER($B$2:B75,($B$2:B75=Table1[[#This Row],[Class]])*($H$2:H75=H76),"")="",1,0),"")</f>
        <v/>
      </c>
      <c r="E76" s="17" t="str">
        <f>IF(F76&lt;&gt;"",_xlfn.XLOOKUP(TEXT(F76,"#"),'Att log'!$B$6:$B$501,'Att log'!$A$6:$A$501,"X"),"")</f>
        <v/>
      </c>
      <c r="F76" s="17"/>
      <c r="H76" s="18" t="str">
        <f>IFERROR(IF((Table1[[#This Row],[Form ID]]-FLOOR(Table1[[#This Row],[Form ID]],100))&lt;10,10,100),"")</f>
        <v/>
      </c>
    </row>
    <row r="77" spans="3:8" x14ac:dyDescent="0.25">
      <c r="C77" s="5" t="str" cm="1">
        <f t="array" ref="C77">IFERROR(_xlfn.XLOOKUP(Table1[[#This Row],[Class]],Details_Filtered!$Y$1:$Y$8,IF((Table1[[#This Row],[Form ID]]-FLOOR(Table1[[#This Row],[Form ID]],100))&lt;10,Details_Filtered!$AA$1:$AA$8,Details_Filtered!$Z$1:$Z$8))+1+COUNTA(_xlfn._xlws.FILTER($B$2:B76,($B$2:B76=Table1[[#This Row],[Class]])*($H$2:H76=H77),""))-IF(_xlfn._xlws.FILTER($B$2:B76,($B$2:B76=Table1[[#This Row],[Class]])*($H$2:H76=H77),"")="",1,0),"")</f>
        <v/>
      </c>
      <c r="E77" s="17" t="str">
        <f>IF(F77&lt;&gt;"",_xlfn.XLOOKUP(TEXT(F77,"#"),'Att log'!$B$6:$B$501,'Att log'!$A$6:$A$501,"X"),"")</f>
        <v/>
      </c>
      <c r="F77" s="17"/>
      <c r="H77" s="18" t="str">
        <f>IFERROR(IF((Table1[[#This Row],[Form ID]]-FLOOR(Table1[[#This Row],[Form ID]],100))&lt;10,10,100),"")</f>
        <v/>
      </c>
    </row>
    <row r="78" spans="3:8" x14ac:dyDescent="0.25">
      <c r="C78" s="5" t="str" cm="1">
        <f t="array" ref="C78">IFERROR(_xlfn.XLOOKUP(Table1[[#This Row],[Class]],Details_Filtered!$Y$1:$Y$8,IF((Table1[[#This Row],[Form ID]]-FLOOR(Table1[[#This Row],[Form ID]],100))&lt;10,Details_Filtered!$AA$1:$AA$8,Details_Filtered!$Z$1:$Z$8))+1+COUNTA(_xlfn._xlws.FILTER($B$2:B77,($B$2:B77=Table1[[#This Row],[Class]])*($H$2:H77=H78),""))-IF(_xlfn._xlws.FILTER($B$2:B77,($B$2:B77=Table1[[#This Row],[Class]])*($H$2:H77=H78),"")="",1,0),"")</f>
        <v/>
      </c>
      <c r="E78" s="17" t="str">
        <f>IF(F78&lt;&gt;"",_xlfn.XLOOKUP(TEXT(F78,"#"),'Att log'!$B$6:$B$501,'Att log'!$A$6:$A$501,"X"),"")</f>
        <v/>
      </c>
      <c r="F78" s="17"/>
      <c r="H78" s="18" t="str">
        <f>IFERROR(IF((Table1[[#This Row],[Form ID]]-FLOOR(Table1[[#This Row],[Form ID]],100))&lt;10,10,100),"")</f>
        <v/>
      </c>
    </row>
    <row r="79" spans="3:8" x14ac:dyDescent="0.25">
      <c r="C79" s="5" t="str" cm="1">
        <f t="array" ref="C79">IFERROR(_xlfn.XLOOKUP(Table1[[#This Row],[Class]],Details_Filtered!$Y$1:$Y$8,IF((Table1[[#This Row],[Form ID]]-FLOOR(Table1[[#This Row],[Form ID]],100))&lt;10,Details_Filtered!$AA$1:$AA$8,Details_Filtered!$Z$1:$Z$8))+1+COUNTA(_xlfn._xlws.FILTER($B$2:B78,($B$2:B78=Table1[[#This Row],[Class]])*($H$2:H78=H79),""))-IF(_xlfn._xlws.FILTER($B$2:B78,($B$2:B78=Table1[[#This Row],[Class]])*($H$2:H78=H79),"")="",1,0),"")</f>
        <v/>
      </c>
      <c r="E79" s="17" t="str">
        <f>IF(F79&lt;&gt;"",_xlfn.XLOOKUP(TEXT(F79,"#"),'Att log'!$B$6:$B$501,'Att log'!$A$6:$A$501,"X"),"")</f>
        <v/>
      </c>
      <c r="F79" s="17"/>
      <c r="H79" s="18" t="str">
        <f>IFERROR(IF((Table1[[#This Row],[Form ID]]-FLOOR(Table1[[#This Row],[Form ID]],100))&lt;10,10,100),"")</f>
        <v/>
      </c>
    </row>
    <row r="80" spans="3:8" x14ac:dyDescent="0.25">
      <c r="C80" s="5" t="str" cm="1">
        <f t="array" ref="C80">IFERROR(_xlfn.XLOOKUP(Table1[[#This Row],[Class]],Details_Filtered!$Y$1:$Y$8,IF((Table1[[#This Row],[Form ID]]-FLOOR(Table1[[#This Row],[Form ID]],100))&lt;10,Details_Filtered!$AA$1:$AA$8,Details_Filtered!$Z$1:$Z$8))+1+COUNTA(_xlfn._xlws.FILTER($B$2:B79,($B$2:B79=Table1[[#This Row],[Class]])*($H$2:H79=H80),""))-IF(_xlfn._xlws.FILTER($B$2:B79,($B$2:B79=Table1[[#This Row],[Class]])*($H$2:H79=H80),"")="",1,0),"")</f>
        <v/>
      </c>
      <c r="E80" s="17" t="str">
        <f>IF(F80&lt;&gt;"",_xlfn.XLOOKUP(TEXT(F80,"#"),'Att log'!$B$6:$B$501,'Att log'!$A$6:$A$501,"X"),"")</f>
        <v/>
      </c>
      <c r="F80" s="17"/>
      <c r="H80" s="18" t="str">
        <f>IFERROR(IF((Table1[[#This Row],[Form ID]]-FLOOR(Table1[[#This Row],[Form ID]],100))&lt;10,10,100),"")</f>
        <v/>
      </c>
    </row>
    <row r="81" spans="3:8" x14ac:dyDescent="0.25">
      <c r="C81" s="5" t="str" cm="1">
        <f t="array" ref="C81">IFERROR(_xlfn.XLOOKUP(Table1[[#This Row],[Class]],Details_Filtered!$Y$1:$Y$8,IF((Table1[[#This Row],[Form ID]]-FLOOR(Table1[[#This Row],[Form ID]],100))&lt;10,Details_Filtered!$AA$1:$AA$8,Details_Filtered!$Z$1:$Z$8))+1+COUNTA(_xlfn._xlws.FILTER($B$2:B80,($B$2:B80=Table1[[#This Row],[Class]])*($H$2:H80=H81),""))-IF(_xlfn._xlws.FILTER($B$2:B80,($B$2:B80=Table1[[#This Row],[Class]])*($H$2:H80=H81),"")="",1,0),"")</f>
        <v/>
      </c>
      <c r="E81" s="17" t="str">
        <f>IF(F81&lt;&gt;"",_xlfn.XLOOKUP(TEXT(F81,"#"),'Att log'!$B$6:$B$501,'Att log'!$A$6:$A$501,"X"),"")</f>
        <v/>
      </c>
      <c r="F81" s="17"/>
      <c r="H81" s="18" t="str">
        <f>IFERROR(IF((Table1[[#This Row],[Form ID]]-FLOOR(Table1[[#This Row],[Form ID]],100))&lt;10,10,100),"")</f>
        <v/>
      </c>
    </row>
    <row r="82" spans="3:8" x14ac:dyDescent="0.25">
      <c r="C82" s="5" t="str" cm="1">
        <f t="array" ref="C82">IFERROR(_xlfn.XLOOKUP(Table1[[#This Row],[Class]],Details_Filtered!$Y$1:$Y$8,IF((Table1[[#This Row],[Form ID]]-FLOOR(Table1[[#This Row],[Form ID]],100))&lt;10,Details_Filtered!$AA$1:$AA$8,Details_Filtered!$Z$1:$Z$8))+1+COUNTA(_xlfn._xlws.FILTER($B$2:B81,($B$2:B81=Table1[[#This Row],[Class]])*($H$2:H81=H82),""))-IF(_xlfn._xlws.FILTER($B$2:B81,($B$2:B81=Table1[[#This Row],[Class]])*($H$2:H81=H82),"")="",1,0),"")</f>
        <v/>
      </c>
      <c r="E82" s="17" t="str">
        <f>IF(F82&lt;&gt;"",_xlfn.XLOOKUP(TEXT(F82,"#"),'Att log'!$B$6:$B$501,'Att log'!$A$6:$A$501,"X"),"")</f>
        <v/>
      </c>
      <c r="F82" s="17"/>
      <c r="H82" s="18" t="str">
        <f>IFERROR(IF((Table1[[#This Row],[Form ID]]-FLOOR(Table1[[#This Row],[Form ID]],100))&lt;10,10,100),"")</f>
        <v/>
      </c>
    </row>
    <row r="83" spans="3:8" x14ac:dyDescent="0.25">
      <c r="C83" s="5" t="str" cm="1">
        <f t="array" ref="C83">IFERROR(_xlfn.XLOOKUP(Table1[[#This Row],[Class]],Details_Filtered!$Y$1:$Y$8,IF((Table1[[#This Row],[Form ID]]-FLOOR(Table1[[#This Row],[Form ID]],100))&lt;10,Details_Filtered!$AA$1:$AA$8,Details_Filtered!$Z$1:$Z$8))+1+COUNTA(_xlfn._xlws.FILTER($B$2:B82,($B$2:B82=Table1[[#This Row],[Class]])*($H$2:H82=H83),""))-IF(_xlfn._xlws.FILTER($B$2:B82,($B$2:B82=Table1[[#This Row],[Class]])*($H$2:H82=H83),"")="",1,0),"")</f>
        <v/>
      </c>
      <c r="E83" s="17" t="str">
        <f>IF(F83&lt;&gt;"",_xlfn.XLOOKUP(TEXT(F83,"#"),'Att log'!$B$6:$B$501,'Att log'!$A$6:$A$501,"X"),"")</f>
        <v/>
      </c>
      <c r="F83" s="17"/>
      <c r="H83" s="18" t="str">
        <f>IFERROR(IF((Table1[[#This Row],[Form ID]]-FLOOR(Table1[[#This Row],[Form ID]],100))&lt;10,10,100),"")</f>
        <v/>
      </c>
    </row>
    <row r="84" spans="3:8" x14ac:dyDescent="0.25">
      <c r="C84" s="5" t="str" cm="1">
        <f t="array" ref="C84">IFERROR(_xlfn.XLOOKUP(Table1[[#This Row],[Class]],Details_Filtered!$Y$1:$Y$8,IF((Table1[[#This Row],[Form ID]]-FLOOR(Table1[[#This Row],[Form ID]],100))&lt;10,Details_Filtered!$AA$1:$AA$8,Details_Filtered!$Z$1:$Z$8))+1+COUNTA(_xlfn._xlws.FILTER($B$2:B83,($B$2:B83=Table1[[#This Row],[Class]])*($H$2:H83=H84),""))-IF(_xlfn._xlws.FILTER($B$2:B83,($B$2:B83=Table1[[#This Row],[Class]])*($H$2:H83=H84),"")="",1,0),"")</f>
        <v/>
      </c>
      <c r="E84" s="17" t="str">
        <f>IF(F84&lt;&gt;"",_xlfn.XLOOKUP(TEXT(F84,"#"),'Att log'!$B$6:$B$501,'Att log'!$A$6:$A$501,"X"),"")</f>
        <v/>
      </c>
      <c r="F84" s="17"/>
      <c r="H84" s="18" t="str">
        <f>IFERROR(IF((Table1[[#This Row],[Form ID]]-FLOOR(Table1[[#This Row],[Form ID]],100))&lt;10,10,100),"")</f>
        <v/>
      </c>
    </row>
    <row r="85" spans="3:8" x14ac:dyDescent="0.25">
      <c r="C85" s="5" t="str" cm="1">
        <f t="array" ref="C85">IFERROR(_xlfn.XLOOKUP(Table1[[#This Row],[Class]],Details_Filtered!$Y$1:$Y$8,IF((Table1[[#This Row],[Form ID]]-FLOOR(Table1[[#This Row],[Form ID]],100))&lt;10,Details_Filtered!$AA$1:$AA$8,Details_Filtered!$Z$1:$Z$8))+1+COUNTA(_xlfn._xlws.FILTER($B$2:B84,($B$2:B84=Table1[[#This Row],[Class]])*($H$2:H84=H85),""))-IF(_xlfn._xlws.FILTER($B$2:B84,($B$2:B84=Table1[[#This Row],[Class]])*($H$2:H84=H85),"")="",1,0),"")</f>
        <v/>
      </c>
      <c r="E85" s="17" t="str">
        <f>IF(F85&lt;&gt;"",_xlfn.XLOOKUP(TEXT(F85,"#"),'Att log'!$B$6:$B$501,'Att log'!$A$6:$A$501,"X"),"")</f>
        <v/>
      </c>
      <c r="F85" s="17"/>
      <c r="H85" s="18" t="str">
        <f>IFERROR(IF((Table1[[#This Row],[Form ID]]-FLOOR(Table1[[#This Row],[Form ID]],100))&lt;10,10,100),"")</f>
        <v/>
      </c>
    </row>
    <row r="86" spans="3:8" x14ac:dyDescent="0.25">
      <c r="C86" s="5" t="str" cm="1">
        <f t="array" ref="C86">IFERROR(_xlfn.XLOOKUP(Table1[[#This Row],[Class]],Details_Filtered!$Y$1:$Y$8,IF((Table1[[#This Row],[Form ID]]-FLOOR(Table1[[#This Row],[Form ID]],100))&lt;10,Details_Filtered!$AA$1:$AA$8,Details_Filtered!$Z$1:$Z$8))+1+COUNTA(_xlfn._xlws.FILTER($B$2:B85,($B$2:B85=Table1[[#This Row],[Class]])*($H$2:H85=H86),""))-IF(_xlfn._xlws.FILTER($B$2:B85,($B$2:B85=Table1[[#This Row],[Class]])*($H$2:H85=H86),"")="",1,0),"")</f>
        <v/>
      </c>
      <c r="E86" s="17" t="str">
        <f>IF(F86&lt;&gt;"",_xlfn.XLOOKUP(TEXT(F86,"#"),'Att log'!$B$6:$B$501,'Att log'!$A$6:$A$501,"X"),"")</f>
        <v/>
      </c>
      <c r="F86" s="17"/>
      <c r="H86" s="18" t="str">
        <f>IFERROR(IF((Table1[[#This Row],[Form ID]]-FLOOR(Table1[[#This Row],[Form ID]],100))&lt;10,10,100),"")</f>
        <v/>
      </c>
    </row>
    <row r="87" spans="3:8" x14ac:dyDescent="0.25">
      <c r="C87" s="5" t="str" cm="1">
        <f t="array" ref="C87">IFERROR(_xlfn.XLOOKUP(Table1[[#This Row],[Class]],Details_Filtered!$Y$1:$Y$8,IF((Table1[[#This Row],[Form ID]]-FLOOR(Table1[[#This Row],[Form ID]],100))&lt;10,Details_Filtered!$AA$1:$AA$8,Details_Filtered!$Z$1:$Z$8))+1+COUNTA(_xlfn._xlws.FILTER($B$2:B86,($B$2:B86=Table1[[#This Row],[Class]])*($H$2:H86=H87),""))-IF(_xlfn._xlws.FILTER($B$2:B86,($B$2:B86=Table1[[#This Row],[Class]])*($H$2:H86=H87),"")="",1,0),"")</f>
        <v/>
      </c>
      <c r="E87" s="17" t="str">
        <f>IF(F87&lt;&gt;"",_xlfn.XLOOKUP(TEXT(F87,"#"),'Att log'!$B$6:$B$501,'Att log'!$A$6:$A$501,"X"),"")</f>
        <v/>
      </c>
      <c r="F87" s="17"/>
      <c r="H87" s="18" t="str">
        <f>IFERROR(IF((Table1[[#This Row],[Form ID]]-FLOOR(Table1[[#This Row],[Form ID]],100))&lt;10,10,100),"")</f>
        <v/>
      </c>
    </row>
    <row r="88" spans="3:8" x14ac:dyDescent="0.25">
      <c r="C88" s="5" t="str" cm="1">
        <f t="array" ref="C88">IFERROR(_xlfn.XLOOKUP(Table1[[#This Row],[Class]],Details_Filtered!$Y$1:$Y$8,IF((Table1[[#This Row],[Form ID]]-FLOOR(Table1[[#This Row],[Form ID]],100))&lt;10,Details_Filtered!$AA$1:$AA$8,Details_Filtered!$Z$1:$Z$8))+1+COUNTA(_xlfn._xlws.FILTER($B$2:B87,($B$2:B87=Table1[[#This Row],[Class]])*($H$2:H87=H88),""))-IF(_xlfn._xlws.FILTER($B$2:B87,($B$2:B87=Table1[[#This Row],[Class]])*($H$2:H87=H88),"")="",1,0),"")</f>
        <v/>
      </c>
      <c r="E88" s="17" t="str">
        <f>IF(F88&lt;&gt;"",_xlfn.XLOOKUP(TEXT(F88,"#"),'Att log'!$B$6:$B$501,'Att log'!$A$6:$A$501,"X"),"")</f>
        <v/>
      </c>
      <c r="F88" s="17"/>
      <c r="H88" s="18" t="str">
        <f>IFERROR(IF((Table1[[#This Row],[Form ID]]-FLOOR(Table1[[#This Row],[Form ID]],100))&lt;10,10,100),"")</f>
        <v/>
      </c>
    </row>
    <row r="89" spans="3:8" x14ac:dyDescent="0.25">
      <c r="C89" s="5" t="str" cm="1">
        <f t="array" ref="C89">IFERROR(_xlfn.XLOOKUP(Table1[[#This Row],[Class]],Details_Filtered!$Y$1:$Y$8,IF((Table1[[#This Row],[Form ID]]-FLOOR(Table1[[#This Row],[Form ID]],100))&lt;10,Details_Filtered!$AA$1:$AA$8,Details_Filtered!$Z$1:$Z$8))+1+COUNTA(_xlfn._xlws.FILTER($B$2:B88,($B$2:B88=Table1[[#This Row],[Class]])*($H$2:H88=H89),""))-IF(_xlfn._xlws.FILTER($B$2:B88,($B$2:B88=Table1[[#This Row],[Class]])*($H$2:H88=H89),"")="",1,0),"")</f>
        <v/>
      </c>
      <c r="E89" s="17" t="str">
        <f>IF(F89&lt;&gt;"",_xlfn.XLOOKUP(TEXT(F89,"#"),'Att log'!$B$6:$B$501,'Att log'!$A$6:$A$501,"X"),"")</f>
        <v/>
      </c>
      <c r="F89" s="17"/>
      <c r="H89" s="18" t="str">
        <f>IFERROR(IF((Table1[[#This Row],[Form ID]]-FLOOR(Table1[[#This Row],[Form ID]],100))&lt;10,10,100),"")</f>
        <v/>
      </c>
    </row>
    <row r="90" spans="3:8" x14ac:dyDescent="0.25">
      <c r="C90" s="5" t="str" cm="1">
        <f t="array" ref="C90">IFERROR(_xlfn.XLOOKUP(Table1[[#This Row],[Class]],Details_Filtered!$Y$1:$Y$8,IF((Table1[[#This Row],[Form ID]]-FLOOR(Table1[[#This Row],[Form ID]],100))&lt;10,Details_Filtered!$AA$1:$AA$8,Details_Filtered!$Z$1:$Z$8))+1+COUNTA(_xlfn._xlws.FILTER($B$2:B89,($B$2:B89=Table1[[#This Row],[Class]])*($H$2:H89=H90),""))-IF(_xlfn._xlws.FILTER($B$2:B89,($B$2:B89=Table1[[#This Row],[Class]])*($H$2:H89=H90),"")="",1,0),"")</f>
        <v/>
      </c>
      <c r="E90" s="17" t="str">
        <f>IF(F90&lt;&gt;"",_xlfn.XLOOKUP(TEXT(F90,"#"),'Att log'!$B$6:$B$501,'Att log'!$A$6:$A$501,"X"),"")</f>
        <v/>
      </c>
      <c r="F90" s="17"/>
      <c r="H90" s="18" t="str">
        <f>IFERROR(IF((Table1[[#This Row],[Form ID]]-FLOOR(Table1[[#This Row],[Form ID]],100))&lt;10,10,100),"")</f>
        <v/>
      </c>
    </row>
    <row r="91" spans="3:8" x14ac:dyDescent="0.25">
      <c r="C91" s="5" t="str" cm="1">
        <f t="array" ref="C91">IFERROR(_xlfn.XLOOKUP(Table1[[#This Row],[Class]],Details_Filtered!$Y$1:$Y$8,IF((Table1[[#This Row],[Form ID]]-FLOOR(Table1[[#This Row],[Form ID]],100))&lt;10,Details_Filtered!$AA$1:$AA$8,Details_Filtered!$Z$1:$Z$8))+1+COUNTA(_xlfn._xlws.FILTER($B$2:B90,($B$2:B90=Table1[[#This Row],[Class]])*($H$2:H90=H91),""))-IF(_xlfn._xlws.FILTER($B$2:B90,($B$2:B90=Table1[[#This Row],[Class]])*($H$2:H90=H91),"")="",1,0),"")</f>
        <v/>
      </c>
      <c r="E91" s="17" t="str">
        <f>IF(F91&lt;&gt;"",_xlfn.XLOOKUP(TEXT(F91,"#"),'Att log'!$B$6:$B$501,'Att log'!$A$6:$A$501,"X"),"")</f>
        <v/>
      </c>
      <c r="F91" s="17"/>
      <c r="H91" s="18" t="str">
        <f>IFERROR(IF((Table1[[#This Row],[Form ID]]-FLOOR(Table1[[#This Row],[Form ID]],100))&lt;10,10,100),"")</f>
        <v/>
      </c>
    </row>
    <row r="92" spans="3:8" x14ac:dyDescent="0.25">
      <c r="C92" s="5" t="str" cm="1">
        <f t="array" ref="C92">IFERROR(_xlfn.XLOOKUP(Table1[[#This Row],[Class]],Details_Filtered!$Y$1:$Y$8,IF((Table1[[#This Row],[Form ID]]-FLOOR(Table1[[#This Row],[Form ID]],100))&lt;10,Details_Filtered!$AA$1:$AA$8,Details_Filtered!$Z$1:$Z$8))+1+COUNTA(_xlfn._xlws.FILTER($B$2:B91,($B$2:B91=Table1[[#This Row],[Class]])*($H$2:H91=H92),""))-IF(_xlfn._xlws.FILTER($B$2:B91,($B$2:B91=Table1[[#This Row],[Class]])*($H$2:H91=H92),"")="",1,0),"")</f>
        <v/>
      </c>
      <c r="E92" s="17" t="str">
        <f>IF(F92&lt;&gt;"",_xlfn.XLOOKUP(TEXT(F92,"#"),'Att log'!$B$6:$B$501,'Att log'!$A$6:$A$501,"X"),"")</f>
        <v/>
      </c>
      <c r="F92" s="17"/>
      <c r="H92" s="18" t="str">
        <f>IFERROR(IF((Table1[[#This Row],[Form ID]]-FLOOR(Table1[[#This Row],[Form ID]],100))&lt;10,10,100),"")</f>
        <v/>
      </c>
    </row>
    <row r="93" spans="3:8" x14ac:dyDescent="0.25">
      <c r="C93" s="5" t="str" cm="1">
        <f t="array" ref="C93">IFERROR(_xlfn.XLOOKUP(Table1[[#This Row],[Class]],Details_Filtered!$Y$1:$Y$8,IF((Table1[[#This Row],[Form ID]]-FLOOR(Table1[[#This Row],[Form ID]],100))&lt;10,Details_Filtered!$AA$1:$AA$8,Details_Filtered!$Z$1:$Z$8))+1+COUNTA(_xlfn._xlws.FILTER($B$2:B92,($B$2:B92=Table1[[#This Row],[Class]])*($H$2:H92=H93),""))-IF(_xlfn._xlws.FILTER($B$2:B92,($B$2:B92=Table1[[#This Row],[Class]])*($H$2:H92=H93),"")="",1,0),"")</f>
        <v/>
      </c>
      <c r="E93" s="17" t="str">
        <f>IF(F93&lt;&gt;"",_xlfn.XLOOKUP(TEXT(F93,"#"),'Att log'!$B$6:$B$501,'Att log'!$A$6:$A$501,"X"),"")</f>
        <v/>
      </c>
      <c r="F93" s="17"/>
      <c r="H93" s="18" t="str">
        <f>IFERROR(IF((Table1[[#This Row],[Form ID]]-FLOOR(Table1[[#This Row],[Form ID]],100))&lt;10,10,100),"")</f>
        <v/>
      </c>
    </row>
    <row r="94" spans="3:8" x14ac:dyDescent="0.25">
      <c r="C94" s="5" t="str" cm="1">
        <f t="array" ref="C94">IFERROR(_xlfn.XLOOKUP(Table1[[#This Row],[Class]],Details_Filtered!$Y$1:$Y$8,IF((Table1[[#This Row],[Form ID]]-FLOOR(Table1[[#This Row],[Form ID]],100))&lt;10,Details_Filtered!$AA$1:$AA$8,Details_Filtered!$Z$1:$Z$8))+1+COUNTA(_xlfn._xlws.FILTER($B$2:B93,($B$2:B93=Table1[[#This Row],[Class]])*($H$2:H93=H94),""))-IF(_xlfn._xlws.FILTER($B$2:B93,($B$2:B93=Table1[[#This Row],[Class]])*($H$2:H93=H94),"")="",1,0),"")</f>
        <v/>
      </c>
      <c r="E94" s="17" t="str">
        <f>IF(F94&lt;&gt;"",_xlfn.XLOOKUP(TEXT(F94,"#"),'Att log'!$B$6:$B$501,'Att log'!$A$6:$A$501,"X"),"")</f>
        <v/>
      </c>
      <c r="F94" s="17"/>
      <c r="H94" s="18" t="str">
        <f>IFERROR(IF((Table1[[#This Row],[Form ID]]-FLOOR(Table1[[#This Row],[Form ID]],100))&lt;10,10,100),"")</f>
        <v/>
      </c>
    </row>
    <row r="95" spans="3:8" x14ac:dyDescent="0.25">
      <c r="C95" s="5" t="str" cm="1">
        <f t="array" ref="C95">IFERROR(_xlfn.XLOOKUP(Table1[[#This Row],[Class]],Details_Filtered!$Y$1:$Y$8,IF((Table1[[#This Row],[Form ID]]-FLOOR(Table1[[#This Row],[Form ID]],100))&lt;10,Details_Filtered!$AA$1:$AA$8,Details_Filtered!$Z$1:$Z$8))+1+COUNTA(_xlfn._xlws.FILTER($B$2:B94,($B$2:B94=Table1[[#This Row],[Class]])*($H$2:H94=H95),""))-IF(_xlfn._xlws.FILTER($B$2:B94,($B$2:B94=Table1[[#This Row],[Class]])*($H$2:H94=H95),"")="",1,0),"")</f>
        <v/>
      </c>
      <c r="E95" s="17" t="str">
        <f>IF(F95&lt;&gt;"",_xlfn.XLOOKUP(TEXT(F95,"#"),'Att log'!$B$6:$B$501,'Att log'!$A$6:$A$501,"X"),"")</f>
        <v/>
      </c>
      <c r="F95" s="17"/>
      <c r="H95" s="18" t="str">
        <f>IFERROR(IF((Table1[[#This Row],[Form ID]]-FLOOR(Table1[[#This Row],[Form ID]],100))&lt;10,10,100),"")</f>
        <v/>
      </c>
    </row>
    <row r="96" spans="3:8" x14ac:dyDescent="0.25">
      <c r="C96" s="5" t="str" cm="1">
        <f t="array" ref="C96">IFERROR(_xlfn.XLOOKUP(Table1[[#This Row],[Class]],Details_Filtered!$Y$1:$Y$8,IF((Table1[[#This Row],[Form ID]]-FLOOR(Table1[[#This Row],[Form ID]],100))&lt;10,Details_Filtered!$AA$1:$AA$8,Details_Filtered!$Z$1:$Z$8))+1+COUNTA(_xlfn._xlws.FILTER($B$2:B95,($B$2:B95=Table1[[#This Row],[Class]])*($H$2:H95=H96),""))-IF(_xlfn._xlws.FILTER($B$2:B95,($B$2:B95=Table1[[#This Row],[Class]])*($H$2:H95=H96),"")="",1,0),"")</f>
        <v/>
      </c>
      <c r="E96" s="17" t="str">
        <f>IF(F96&lt;&gt;"",_xlfn.XLOOKUP(TEXT(F96,"#"),'Att log'!$B$6:$B$501,'Att log'!$A$6:$A$501,"X"),"")</f>
        <v/>
      </c>
      <c r="F96" s="17"/>
      <c r="H96" s="18" t="str">
        <f>IFERROR(IF((Table1[[#This Row],[Form ID]]-FLOOR(Table1[[#This Row],[Form ID]],100))&lt;10,10,100),"")</f>
        <v/>
      </c>
    </row>
    <row r="97" spans="3:8" x14ac:dyDescent="0.25">
      <c r="C97" s="5" t="str" cm="1">
        <f t="array" ref="C97">IFERROR(_xlfn.XLOOKUP(Table1[[#This Row],[Class]],Details_Filtered!$Y$1:$Y$8,IF((Table1[[#This Row],[Form ID]]-FLOOR(Table1[[#This Row],[Form ID]],100))&lt;10,Details_Filtered!$AA$1:$AA$8,Details_Filtered!$Z$1:$Z$8))+1+COUNTA(_xlfn._xlws.FILTER($B$2:B96,($B$2:B96=Table1[[#This Row],[Class]])*($H$2:H96=H97),""))-IF(_xlfn._xlws.FILTER($B$2:B96,($B$2:B96=Table1[[#This Row],[Class]])*($H$2:H96=H97),"")="",1,0),"")</f>
        <v/>
      </c>
      <c r="E97" s="17" t="str">
        <f>IF(F97&lt;&gt;"",_xlfn.XLOOKUP(TEXT(F97,"#"),'Att log'!$B$6:$B$501,'Att log'!$A$6:$A$501,"X"),"")</f>
        <v/>
      </c>
      <c r="F97" s="17"/>
      <c r="H97" s="18" t="str">
        <f>IFERROR(IF((Table1[[#This Row],[Form ID]]-FLOOR(Table1[[#This Row],[Form ID]],100))&lt;10,10,100),"")</f>
        <v/>
      </c>
    </row>
    <row r="98" spans="3:8" x14ac:dyDescent="0.25">
      <c r="C98" s="5" t="str" cm="1">
        <f t="array" ref="C98">IFERROR(_xlfn.XLOOKUP(Table1[[#This Row],[Class]],Details_Filtered!$Y$1:$Y$8,IF((Table1[[#This Row],[Form ID]]-FLOOR(Table1[[#This Row],[Form ID]],100))&lt;10,Details_Filtered!$AA$1:$AA$8,Details_Filtered!$Z$1:$Z$8))+1+COUNTA(_xlfn._xlws.FILTER($B$2:B97,($B$2:B97=Table1[[#This Row],[Class]])*($H$2:H97=H98),""))-IF(_xlfn._xlws.FILTER($B$2:B97,($B$2:B97=Table1[[#This Row],[Class]])*($H$2:H97=H98),"")="",1,0),"")</f>
        <v/>
      </c>
      <c r="E98" s="17" t="str">
        <f>IF(F98&lt;&gt;"",_xlfn.XLOOKUP(TEXT(F98,"#"),'Att log'!$B$6:$B$501,'Att log'!$A$6:$A$501,"X"),"")</f>
        <v/>
      </c>
      <c r="F98" s="17"/>
      <c r="H98" s="18" t="str">
        <f>IFERROR(IF((Table1[[#This Row],[Form ID]]-FLOOR(Table1[[#This Row],[Form ID]],100))&lt;10,10,100),"")</f>
        <v/>
      </c>
    </row>
    <row r="99" spans="3:8" x14ac:dyDescent="0.25">
      <c r="C99" s="5" t="str" cm="1">
        <f t="array" ref="C99">IFERROR(_xlfn.XLOOKUP(Table1[[#This Row],[Class]],Details_Filtered!$Y$1:$Y$8,IF((Table1[[#This Row],[Form ID]]-FLOOR(Table1[[#This Row],[Form ID]],100))&lt;10,Details_Filtered!$AA$1:$AA$8,Details_Filtered!$Z$1:$Z$8))+1+COUNTA(_xlfn._xlws.FILTER($B$2:B98,($B$2:B98=Table1[[#This Row],[Class]])*($H$2:H98=H99),""))-IF(_xlfn._xlws.FILTER($B$2:B98,($B$2:B98=Table1[[#This Row],[Class]])*($H$2:H98=H99),"")="",1,0),"")</f>
        <v/>
      </c>
      <c r="E99" s="17" t="str">
        <f>IF(F99&lt;&gt;"",_xlfn.XLOOKUP(TEXT(F99,"#"),'Att log'!$B$6:$B$501,'Att log'!$A$6:$A$501,"X"),"")</f>
        <v/>
      </c>
      <c r="F99" s="17"/>
      <c r="H99" s="18" t="str">
        <f>IFERROR(IF((Table1[[#This Row],[Form ID]]-FLOOR(Table1[[#This Row],[Form ID]],100))&lt;10,10,100),"")</f>
        <v/>
      </c>
    </row>
    <row r="100" spans="3:8" x14ac:dyDescent="0.25">
      <c r="C100" s="5" t="str" cm="1">
        <f t="array" ref="C100">IFERROR(_xlfn.XLOOKUP(Table1[[#This Row],[Class]],Details_Filtered!$Y$1:$Y$8,IF((Table1[[#This Row],[Form ID]]-FLOOR(Table1[[#This Row],[Form ID]],100))&lt;10,Details_Filtered!$AA$1:$AA$8,Details_Filtered!$Z$1:$Z$8))+1+COUNTA(_xlfn._xlws.FILTER($B$2:B99,($B$2:B99=Table1[[#This Row],[Class]])*($H$2:H99=H100),""))-IF(_xlfn._xlws.FILTER($B$2:B99,($B$2:B99=Table1[[#This Row],[Class]])*($H$2:H99=H100),"")="",1,0),"")</f>
        <v/>
      </c>
      <c r="E100" s="17" t="str">
        <f>IF(F100&lt;&gt;"",_xlfn.XLOOKUP(TEXT(F100,"#"),'Att log'!$B$6:$B$501,'Att log'!$A$6:$A$501,"X"),"")</f>
        <v/>
      </c>
      <c r="F100" s="17"/>
      <c r="H100" s="18" t="str">
        <f>IFERROR(IF((Table1[[#This Row],[Form ID]]-FLOOR(Table1[[#This Row],[Form ID]],100))&lt;10,10,100),"")</f>
        <v/>
      </c>
    </row>
    <row r="101" spans="3:8" x14ac:dyDescent="0.25">
      <c r="C101" s="5" t="str" cm="1">
        <f t="array" ref="C101">IFERROR(_xlfn.XLOOKUP(Table1[[#This Row],[Class]],Details_Filtered!$Y$1:$Y$8,IF((Table1[[#This Row],[Form ID]]-FLOOR(Table1[[#This Row],[Form ID]],100))&lt;10,Details_Filtered!$AA$1:$AA$8,Details_Filtered!$Z$1:$Z$8))+1+COUNTA(_xlfn._xlws.FILTER($B$2:B100,($B$2:B100=Table1[[#This Row],[Class]])*($H$2:H100=H101),""))-IF(_xlfn._xlws.FILTER($B$2:B100,($B$2:B100=Table1[[#This Row],[Class]])*($H$2:H100=H101),"")="",1,0),"")</f>
        <v/>
      </c>
      <c r="E101" s="17" t="str">
        <f>IF(F101&lt;&gt;"",_xlfn.XLOOKUP(TEXT(F101,"#"),'Att log'!$B$6:$B$501,'Att log'!$A$6:$A$501,"X"),"")</f>
        <v/>
      </c>
      <c r="F101" s="17"/>
      <c r="H101" s="18" t="str">
        <f>IFERROR(IF((Table1[[#This Row],[Form ID]]-FLOOR(Table1[[#This Row],[Form ID]],100))&lt;10,10,100),"")</f>
        <v/>
      </c>
    </row>
    <row r="102" spans="3:8" x14ac:dyDescent="0.25">
      <c r="C102" s="5" t="str" cm="1">
        <f t="array" ref="C102">IFERROR(_xlfn.XLOOKUP(Table1[[#This Row],[Class]],Details_Filtered!$Y$1:$Y$8,IF((Table1[[#This Row],[Form ID]]-FLOOR(Table1[[#This Row],[Form ID]],100))&lt;10,Details_Filtered!$AA$1:$AA$8,Details_Filtered!$Z$1:$Z$8))+1+COUNTA(_xlfn._xlws.FILTER($B$2:B101,($B$2:B101=Table1[[#This Row],[Class]])*($H$2:H101=H102),""))-IF(_xlfn._xlws.FILTER($B$2:B101,($B$2:B101=Table1[[#This Row],[Class]])*($H$2:H101=H102),"")="",1,0),"")</f>
        <v/>
      </c>
      <c r="E102" s="17" t="str">
        <f>IF(F102&lt;&gt;"",_xlfn.XLOOKUP(TEXT(F102,"#"),'Att log'!$B$6:$B$501,'Att log'!$A$6:$A$501,"X"),"")</f>
        <v/>
      </c>
      <c r="F102" s="17"/>
      <c r="H102" s="18" t="str">
        <f>IFERROR(IF((Table1[[#This Row],[Form ID]]-FLOOR(Table1[[#This Row],[Form ID]],100))&lt;10,10,100),"")</f>
        <v/>
      </c>
    </row>
    <row r="103" spans="3:8" x14ac:dyDescent="0.25">
      <c r="C103" s="5" t="str" cm="1">
        <f t="array" ref="C103">IFERROR(_xlfn.XLOOKUP(Table1[[#This Row],[Class]],Details_Filtered!$Y$1:$Y$8,IF((Table1[[#This Row],[Form ID]]-FLOOR(Table1[[#This Row],[Form ID]],100))&lt;10,Details_Filtered!$AA$1:$AA$8,Details_Filtered!$Z$1:$Z$8))+1+COUNTA(_xlfn._xlws.FILTER($B$2:B102,($B$2:B102=Table1[[#This Row],[Class]])*($H$2:H102=H103),""))-IF(_xlfn._xlws.FILTER($B$2:B102,($B$2:B102=Table1[[#This Row],[Class]])*($H$2:H102=H103),"")="",1,0),"")</f>
        <v/>
      </c>
      <c r="E103" s="17" t="str">
        <f>IF(F103&lt;&gt;"",_xlfn.XLOOKUP(TEXT(F103,"#"),'Att log'!$B$6:$B$501,'Att log'!$A$6:$A$501,"X"),"")</f>
        <v/>
      </c>
      <c r="F103" s="17"/>
      <c r="H103" s="18" t="str">
        <f>IFERROR(IF((Table1[[#This Row],[Form ID]]-FLOOR(Table1[[#This Row],[Form ID]],100))&lt;10,10,100),"")</f>
        <v/>
      </c>
    </row>
    <row r="104" spans="3:8" x14ac:dyDescent="0.25">
      <c r="C104" s="5" t="str" cm="1">
        <f t="array" ref="C104">IFERROR(_xlfn.XLOOKUP(Table1[[#This Row],[Class]],Details_Filtered!$Y$1:$Y$8,IF((Table1[[#This Row],[Form ID]]-FLOOR(Table1[[#This Row],[Form ID]],100))&lt;10,Details_Filtered!$AA$1:$AA$8,Details_Filtered!$Z$1:$Z$8))+1+COUNTA(_xlfn._xlws.FILTER($B$2:B103,($B$2:B103=Table1[[#This Row],[Class]])*($H$2:H103=H104),""))-IF(_xlfn._xlws.FILTER($B$2:B103,($B$2:B103=Table1[[#This Row],[Class]])*($H$2:H103=H104),"")="",1,0),"")</f>
        <v/>
      </c>
      <c r="E104" s="17" t="str">
        <f>IF(F104&lt;&gt;"",_xlfn.XLOOKUP(TEXT(F104,"#"),'Att log'!$B$6:$B$501,'Att log'!$A$6:$A$501,"X"),"")</f>
        <v/>
      </c>
      <c r="F104" s="17"/>
      <c r="H104" s="18" t="str">
        <f>IFERROR(IF((Table1[[#This Row],[Form ID]]-FLOOR(Table1[[#This Row],[Form ID]],100))&lt;10,10,100),"")</f>
        <v/>
      </c>
    </row>
    <row r="105" spans="3:8" x14ac:dyDescent="0.25">
      <c r="C105" s="5" t="str" cm="1">
        <f t="array" ref="C105">IFERROR(_xlfn.XLOOKUP(Table1[[#This Row],[Class]],Details_Filtered!$Y$1:$Y$8,IF((Table1[[#This Row],[Form ID]]-FLOOR(Table1[[#This Row],[Form ID]],100))&lt;10,Details_Filtered!$AA$1:$AA$8,Details_Filtered!$Z$1:$Z$8))+1+COUNTA(_xlfn._xlws.FILTER($B$2:B104,($B$2:B104=Table1[[#This Row],[Class]])*($H$2:H104=H105),""))-IF(_xlfn._xlws.FILTER($B$2:B104,($B$2:B104=Table1[[#This Row],[Class]])*($H$2:H104=H105),"")="",1,0),"")</f>
        <v/>
      </c>
      <c r="E105" s="17" t="str">
        <f>IF(F105&lt;&gt;"",_xlfn.XLOOKUP(TEXT(F105,"#"),'Att log'!$B$6:$B$501,'Att log'!$A$6:$A$501,"X"),"")</f>
        <v/>
      </c>
      <c r="F105" s="17"/>
      <c r="H105" s="18" t="str">
        <f>IFERROR(IF((Table1[[#This Row],[Form ID]]-FLOOR(Table1[[#This Row],[Form ID]],100))&lt;10,10,100),"")</f>
        <v/>
      </c>
    </row>
    <row r="106" spans="3:8" x14ac:dyDescent="0.25">
      <c r="C106" s="5" t="str" cm="1">
        <f t="array" ref="C106">IFERROR(_xlfn.XLOOKUP(Table1[[#This Row],[Class]],Details_Filtered!$Y$1:$Y$8,IF((Table1[[#This Row],[Form ID]]-FLOOR(Table1[[#This Row],[Form ID]],100))&lt;10,Details_Filtered!$AA$1:$AA$8,Details_Filtered!$Z$1:$Z$8))+1+COUNTA(_xlfn._xlws.FILTER($B$2:B105,($B$2:B105=Table1[[#This Row],[Class]])*($H$2:H105=H106),""))-IF(_xlfn._xlws.FILTER($B$2:B105,($B$2:B105=Table1[[#This Row],[Class]])*($H$2:H105=H106),"")="",1,0),"")</f>
        <v/>
      </c>
      <c r="E106" s="17" t="str">
        <f>IF(F106&lt;&gt;"",_xlfn.XLOOKUP(TEXT(F106,"#"),'Att log'!$B$6:$B$501,'Att log'!$A$6:$A$501,"X"),"")</f>
        <v/>
      </c>
      <c r="F106" s="17"/>
      <c r="H106" s="18" t="str">
        <f>IFERROR(IF((Table1[[#This Row],[Form ID]]-FLOOR(Table1[[#This Row],[Form ID]],100))&lt;10,10,100),"")</f>
        <v/>
      </c>
    </row>
    <row r="107" spans="3:8" x14ac:dyDescent="0.25">
      <c r="C107" s="5" t="str" cm="1">
        <f t="array" ref="C107">IFERROR(_xlfn.XLOOKUP(Table1[[#This Row],[Class]],Details_Filtered!$Y$1:$Y$8,IF((Table1[[#This Row],[Form ID]]-FLOOR(Table1[[#This Row],[Form ID]],100))&lt;10,Details_Filtered!$AA$1:$AA$8,Details_Filtered!$Z$1:$Z$8))+1+COUNTA(_xlfn._xlws.FILTER($B$2:B106,($B$2:B106=Table1[[#This Row],[Class]])*($H$2:H106=H107),""))-IF(_xlfn._xlws.FILTER($B$2:B106,($B$2:B106=Table1[[#This Row],[Class]])*($H$2:H106=H107),"")="",1,0),"")</f>
        <v/>
      </c>
      <c r="E107" s="17" t="str">
        <f>IF(F107&lt;&gt;"",_xlfn.XLOOKUP(TEXT(F107,"#"),'Att log'!$B$6:$B$501,'Att log'!$A$6:$A$501,"X"),"")</f>
        <v/>
      </c>
      <c r="F107" s="17"/>
      <c r="H107" s="18" t="str">
        <f>IFERROR(IF((Table1[[#This Row],[Form ID]]-FLOOR(Table1[[#This Row],[Form ID]],100))&lt;10,10,100),"")</f>
        <v/>
      </c>
    </row>
    <row r="108" spans="3:8" x14ac:dyDescent="0.25">
      <c r="C108" s="5" t="str" cm="1">
        <f t="array" ref="C108">IFERROR(_xlfn.XLOOKUP(Table1[[#This Row],[Class]],Details_Filtered!$Y$1:$Y$8,IF((Table1[[#This Row],[Form ID]]-FLOOR(Table1[[#This Row],[Form ID]],100))&lt;10,Details_Filtered!$AA$1:$AA$8,Details_Filtered!$Z$1:$Z$8))+1+COUNTA(_xlfn._xlws.FILTER($B$2:B107,($B$2:B107=Table1[[#This Row],[Class]])*($H$2:H107=H108),""))-IF(_xlfn._xlws.FILTER($B$2:B107,($B$2:B107=Table1[[#This Row],[Class]])*($H$2:H107=H108),"")="",1,0),"")</f>
        <v/>
      </c>
      <c r="E108" s="17" t="str">
        <f>IF(F108&lt;&gt;"",_xlfn.XLOOKUP(TEXT(F108,"#"),'Att log'!$B$6:$B$501,'Att log'!$A$6:$A$501,"X"),"")</f>
        <v/>
      </c>
      <c r="F108" s="17"/>
      <c r="H108" s="18" t="str">
        <f>IFERROR(IF((Table1[[#This Row],[Form ID]]-FLOOR(Table1[[#This Row],[Form ID]],100))&lt;10,10,100),"")</f>
        <v/>
      </c>
    </row>
    <row r="109" spans="3:8" x14ac:dyDescent="0.25">
      <c r="C109" s="5" t="str" cm="1">
        <f t="array" ref="C109">IFERROR(_xlfn.XLOOKUP(Table1[[#This Row],[Class]],Details_Filtered!$Y$1:$Y$8,IF((Table1[[#This Row],[Form ID]]-FLOOR(Table1[[#This Row],[Form ID]],100))&lt;10,Details_Filtered!$AA$1:$AA$8,Details_Filtered!$Z$1:$Z$8))+1+COUNTA(_xlfn._xlws.FILTER($B$2:B108,($B$2:B108=Table1[[#This Row],[Class]])*($H$2:H108=H109),""))-IF(_xlfn._xlws.FILTER($B$2:B108,($B$2:B108=Table1[[#This Row],[Class]])*($H$2:H108=H109),"")="",1,0),"")</f>
        <v/>
      </c>
      <c r="E109" s="17" t="str">
        <f>IF(F109&lt;&gt;"",_xlfn.XLOOKUP(TEXT(F109,"#"),'Att log'!$B$6:$B$501,'Att log'!$A$6:$A$501,"X"),"")</f>
        <v/>
      </c>
      <c r="F109" s="17"/>
      <c r="H109" s="18" t="str">
        <f>IFERROR(IF((Table1[[#This Row],[Form ID]]-FLOOR(Table1[[#This Row],[Form ID]],100))&lt;10,10,100),"")</f>
        <v/>
      </c>
    </row>
    <row r="110" spans="3:8" x14ac:dyDescent="0.25">
      <c r="C110" s="5" t="str" cm="1">
        <f t="array" ref="C110">IFERROR(_xlfn.XLOOKUP(Table1[[#This Row],[Class]],Details_Filtered!$Y$1:$Y$8,IF((Table1[[#This Row],[Form ID]]-FLOOR(Table1[[#This Row],[Form ID]],100))&lt;10,Details_Filtered!$AA$1:$AA$8,Details_Filtered!$Z$1:$Z$8))+1+COUNTA(_xlfn._xlws.FILTER($B$2:B109,($B$2:B109=Table1[[#This Row],[Class]])*($H$2:H109=H110),""))-IF(_xlfn._xlws.FILTER($B$2:B109,($B$2:B109=Table1[[#This Row],[Class]])*($H$2:H109=H110),"")="",1,0),"")</f>
        <v/>
      </c>
      <c r="E110" s="17" t="str">
        <f>IF(F110&lt;&gt;"",_xlfn.XLOOKUP(TEXT(F110,"#"),'Att log'!$B$6:$B$501,'Att log'!$A$6:$A$501,"X"),"")</f>
        <v/>
      </c>
      <c r="F110" s="17"/>
      <c r="H110" s="18" t="str">
        <f>IFERROR(IF((Table1[[#This Row],[Form ID]]-FLOOR(Table1[[#This Row],[Form ID]],100))&lt;10,10,100),"")</f>
        <v/>
      </c>
    </row>
    <row r="111" spans="3:8" x14ac:dyDescent="0.25">
      <c r="E111" s="17" t="str">
        <f>IF(F111&lt;&gt;"",_xlfn.XLOOKUP(TEXT(F111,"#"),'Att log'!$B$6:$B$501,'Att log'!$A$6:$A$501,"X"),"")</f>
        <v/>
      </c>
      <c r="F111" s="17"/>
      <c r="H111" s="18"/>
    </row>
    <row r="112" spans="3:8" x14ac:dyDescent="0.25">
      <c r="E112" s="17" t="str">
        <f>IF(F112&lt;&gt;"",_xlfn.XLOOKUP(TEXT(F112,"#"),'Att log'!$B$6:$B$501,'Att log'!$A$6:$A$501,"X"),"")</f>
        <v/>
      </c>
      <c r="F112" s="17"/>
      <c r="H112" s="18"/>
    </row>
    <row r="113" spans="5:8" x14ac:dyDescent="0.25">
      <c r="E113" s="17" t="str">
        <f>IF(F113&lt;&gt;"",_xlfn.XLOOKUP(TEXT(F113,"#"),'Att log'!$B$6:$B$501,'Att log'!$A$6:$A$501,"X"),"")</f>
        <v/>
      </c>
      <c r="F113" s="17"/>
      <c r="H113" s="18"/>
    </row>
    <row r="114" spans="5:8" x14ac:dyDescent="0.25">
      <c r="E114" s="17" t="str">
        <f>IF(F114&lt;&gt;"",_xlfn.XLOOKUP(TEXT(F114,"#"),'Att log'!$B$6:$B$501,'Att log'!$A$6:$A$501,"X"),"")</f>
        <v/>
      </c>
      <c r="F114" s="17"/>
      <c r="H114" s="18"/>
    </row>
    <row r="115" spans="5:8" x14ac:dyDescent="0.25">
      <c r="E115" s="17" t="str">
        <f>IF(F115&lt;&gt;"",_xlfn.XLOOKUP(TEXT(F115,"#"),'Att log'!$B$6:$B$501,'Att log'!$A$6:$A$501,"X"),"")</f>
        <v/>
      </c>
      <c r="F115" s="17"/>
      <c r="H115" s="18"/>
    </row>
    <row r="116" spans="5:8" x14ac:dyDescent="0.25">
      <c r="E116" s="17" t="str">
        <f>IF(F116&lt;&gt;"",_xlfn.XLOOKUP(TEXT(F116,"#"),'Att log'!$B$6:$B$501,'Att log'!$A$6:$A$501,"X"),"")</f>
        <v/>
      </c>
      <c r="F116" s="17"/>
      <c r="H116" s="18"/>
    </row>
    <row r="117" spans="5:8" x14ac:dyDescent="0.25">
      <c r="E117" s="17" t="str">
        <f>IF(F117&lt;&gt;"",_xlfn.XLOOKUP(TEXT(F117,"#"),'Att log'!$B$6:$B$501,'Att log'!$A$6:$A$501,"X"),"")</f>
        <v/>
      </c>
      <c r="F117" s="17"/>
      <c r="H117" s="18"/>
    </row>
    <row r="118" spans="5:8" x14ac:dyDescent="0.25">
      <c r="E118" s="17" t="str">
        <f>IF(F118&lt;&gt;"",_xlfn.XLOOKUP(TEXT(F118,"#"),'Att log'!$B$6:$B$501,'Att log'!$A$6:$A$501,"X"),"")</f>
        <v/>
      </c>
      <c r="F118" s="17"/>
      <c r="H118" s="18"/>
    </row>
    <row r="119" spans="5:8" x14ac:dyDescent="0.25">
      <c r="E119" s="17" t="str">
        <f>IF(F119&lt;&gt;"",_xlfn.XLOOKUP(TEXT(F119,"#"),'Att log'!$B$6:$B$501,'Att log'!$A$6:$A$501,"X"),"")</f>
        <v/>
      </c>
      <c r="F119" s="17"/>
      <c r="H119" s="18"/>
    </row>
    <row r="120" spans="5:8" x14ac:dyDescent="0.25">
      <c r="E120" s="17" t="str">
        <f>IF(F120&lt;&gt;"",_xlfn.XLOOKUP(TEXT(F120,"#"),'Att log'!$B$6:$B$501,'Att log'!$A$6:$A$501,"X"),"")</f>
        <v/>
      </c>
      <c r="F120" s="17"/>
      <c r="H120" s="18"/>
    </row>
    <row r="121" spans="5:8" x14ac:dyDescent="0.25">
      <c r="E121" s="17" t="str">
        <f>IF(F121&lt;&gt;"",_xlfn.XLOOKUP(TEXT(F121,"#"),'Att log'!$B$6:$B$501,'Att log'!$A$6:$A$501,"X"),"")</f>
        <v/>
      </c>
      <c r="F121" s="17"/>
      <c r="H121" s="18"/>
    </row>
    <row r="122" spans="5:8" x14ac:dyDescent="0.25">
      <c r="E122" s="17" t="str">
        <f>IF(F122&lt;&gt;"",_xlfn.XLOOKUP(TEXT(F122,"#"),'Att log'!$B$6:$B$501,'Att log'!$A$6:$A$501,"X"),"")</f>
        <v/>
      </c>
      <c r="F122" s="17"/>
      <c r="H122" s="18"/>
    </row>
    <row r="123" spans="5:8" x14ac:dyDescent="0.25">
      <c r="E123" s="17" t="str">
        <f>IF(F123&lt;&gt;"",_xlfn.XLOOKUP(TEXT(F123,"#"),'Att log'!$B$6:$B$501,'Att log'!$A$6:$A$501,"X"),"")</f>
        <v/>
      </c>
      <c r="F123" s="17"/>
      <c r="H123" s="18"/>
    </row>
    <row r="124" spans="5:8" x14ac:dyDescent="0.25">
      <c r="E124" s="17" t="str">
        <f>IF(F124&lt;&gt;"",_xlfn.XLOOKUP(TEXT(F124,"#"),'Att log'!$B$6:$B$501,'Att log'!$A$6:$A$501,"X"),"")</f>
        <v/>
      </c>
      <c r="F124" s="17"/>
      <c r="H124" s="18"/>
    </row>
    <row r="125" spans="5:8" x14ac:dyDescent="0.25">
      <c r="E125" s="17" t="str">
        <f>IF(F125&lt;&gt;"",_xlfn.XLOOKUP(TEXT(F125,"#"),'Att log'!$B$6:$B$501,'Att log'!$A$6:$A$501,"X"),"")</f>
        <v/>
      </c>
      <c r="F125" s="17"/>
      <c r="H125" s="18"/>
    </row>
    <row r="126" spans="5:8" x14ac:dyDescent="0.25">
      <c r="E126" s="17" t="str">
        <f>IF(F126&lt;&gt;"",_xlfn.XLOOKUP(TEXT(F126,"#"),'Att log'!$B$6:$B$501,'Att log'!$A$6:$A$501,"X"),"")</f>
        <v/>
      </c>
      <c r="F126" s="17"/>
      <c r="H126" s="18"/>
    </row>
    <row r="127" spans="5:8" x14ac:dyDescent="0.25">
      <c r="E127" s="17" t="str">
        <f>IF(F127&lt;&gt;"",_xlfn.XLOOKUP(TEXT(F127,"#"),'Att log'!$B$6:$B$501,'Att log'!$A$6:$A$501,"X"),"")</f>
        <v/>
      </c>
      <c r="F127" s="17"/>
      <c r="H127" s="18"/>
    </row>
    <row r="128" spans="5:8" x14ac:dyDescent="0.25">
      <c r="E128" s="17" t="str">
        <f>IF(F128&lt;&gt;"",_xlfn.XLOOKUP(TEXT(F128,"#"),'Att log'!$B$6:$B$501,'Att log'!$A$6:$A$501,"X"),"")</f>
        <v/>
      </c>
      <c r="F128" s="17"/>
      <c r="H128" s="18"/>
    </row>
    <row r="129" spans="5:8" x14ac:dyDescent="0.25">
      <c r="E129" s="17" t="str">
        <f>IF(F129&lt;&gt;"",_xlfn.XLOOKUP(TEXT(F129,"#"),'Att log'!$B$6:$B$501,'Att log'!$A$6:$A$501,"X"),"")</f>
        <v/>
      </c>
      <c r="F129" s="17"/>
      <c r="H129" s="18"/>
    </row>
    <row r="130" spans="5:8" x14ac:dyDescent="0.25">
      <c r="E130" s="17" t="str">
        <f>IF(F130&lt;&gt;"",_xlfn.XLOOKUP(TEXT(F130,"#"),'Att log'!$B$6:$B$501,'Att log'!$A$6:$A$501,"X"),"")</f>
        <v/>
      </c>
      <c r="F130" s="17"/>
      <c r="H130" s="18"/>
    </row>
    <row r="131" spans="5:8" x14ac:dyDescent="0.25">
      <c r="E131" s="17" t="str">
        <f>IF(F131&lt;&gt;"",_xlfn.XLOOKUP(TEXT(F131,"#"),'Att log'!$B$6:$B$501,'Att log'!$A$6:$A$501,"X"),"")</f>
        <v/>
      </c>
      <c r="F131" s="17"/>
      <c r="H131" s="18"/>
    </row>
    <row r="132" spans="5:8" x14ac:dyDescent="0.25">
      <c r="E132" s="17" t="str">
        <f>IF(F132&lt;&gt;"",_xlfn.XLOOKUP(TEXT(F132,"#"),'Att log'!$B$6:$B$501,'Att log'!$A$6:$A$501,"X"),"")</f>
        <v/>
      </c>
      <c r="F132" s="17"/>
      <c r="H132" s="18"/>
    </row>
    <row r="133" spans="5:8" x14ac:dyDescent="0.25">
      <c r="E133" s="17" t="str">
        <f>IF(F133&lt;&gt;"",_xlfn.XLOOKUP(TEXT(F133,"#"),'Att log'!$B$6:$B$501,'Att log'!$A$6:$A$501,"X"),"")</f>
        <v/>
      </c>
      <c r="F133" s="17"/>
      <c r="H133" s="18"/>
    </row>
    <row r="134" spans="5:8" x14ac:dyDescent="0.25">
      <c r="E134" s="17" t="str">
        <f>IF(F134&lt;&gt;"",_xlfn.XLOOKUP(TEXT(F134,"#"),'Att log'!$B$6:$B$501,'Att log'!$A$6:$A$501,"X"),"")</f>
        <v/>
      </c>
      <c r="F134" s="17"/>
      <c r="H134" s="18"/>
    </row>
    <row r="135" spans="5:8" x14ac:dyDescent="0.25">
      <c r="E135" s="17" t="str">
        <f>IF(F135&lt;&gt;"",_xlfn.XLOOKUP(TEXT(F135,"#"),'Att log'!$B$6:$B$501,'Att log'!$A$6:$A$501,"X"),"")</f>
        <v/>
      </c>
      <c r="F135" s="17"/>
      <c r="H135" s="18"/>
    </row>
    <row r="136" spans="5:8" x14ac:dyDescent="0.25">
      <c r="E136" s="17" t="str">
        <f>IF(F136&lt;&gt;"",_xlfn.XLOOKUP(TEXT(F136,"#"),'Att log'!$B$6:$B$501,'Att log'!$A$6:$A$501,"X"),"")</f>
        <v/>
      </c>
      <c r="F136" s="17"/>
      <c r="H136" s="18"/>
    </row>
    <row r="137" spans="5:8" x14ac:dyDescent="0.25">
      <c r="E137" s="17" t="str">
        <f>IF(F137&lt;&gt;"",_xlfn.XLOOKUP(TEXT(F137,"#"),'Att log'!$B$6:$B$501,'Att log'!$A$6:$A$501,"X"),"")</f>
        <v/>
      </c>
      <c r="F137" s="17"/>
      <c r="H137" s="18"/>
    </row>
    <row r="138" spans="5:8" x14ac:dyDescent="0.25">
      <c r="E138" s="17" t="str">
        <f>IF(F138&lt;&gt;"",_xlfn.XLOOKUP(TEXT(F138,"#"),'Att log'!$B$6:$B$501,'Att log'!$A$6:$A$501,"X"),"")</f>
        <v/>
      </c>
      <c r="F138" s="17"/>
      <c r="H138" s="18"/>
    </row>
    <row r="139" spans="5:8" x14ac:dyDescent="0.25">
      <c r="E139" s="17" t="str">
        <f>IF(F139&lt;&gt;"",_xlfn.XLOOKUP(TEXT(F139,"#"),'Att log'!$B$6:$B$501,'Att log'!$A$6:$A$501,"X"),"")</f>
        <v/>
      </c>
      <c r="F139" s="17"/>
      <c r="H139" s="18"/>
    </row>
    <row r="140" spans="5:8" x14ac:dyDescent="0.25">
      <c r="E140" s="17" t="str">
        <f>IF(F140&lt;&gt;"",_xlfn.XLOOKUP(TEXT(F140,"#"),'Att log'!$B$6:$B$501,'Att log'!$A$6:$A$501,"X"),"")</f>
        <v/>
      </c>
      <c r="F140" s="17"/>
      <c r="H140" s="18"/>
    </row>
    <row r="141" spans="5:8" x14ac:dyDescent="0.25">
      <c r="E141" s="17" t="str">
        <f>IF(F141&lt;&gt;"",_xlfn.XLOOKUP(TEXT(F141,"#"),'Att log'!$B$6:$B$501,'Att log'!$A$6:$A$501,"X"),"")</f>
        <v/>
      </c>
      <c r="F141" s="17"/>
      <c r="H141" s="18"/>
    </row>
    <row r="142" spans="5:8" x14ac:dyDescent="0.25">
      <c r="E142" s="17" t="str">
        <f>IF(F142&lt;&gt;"",_xlfn.XLOOKUP(TEXT(F142,"#"),'Att log'!$B$6:$B$501,'Att log'!$A$6:$A$501,"X"),"")</f>
        <v/>
      </c>
      <c r="F142" s="17"/>
      <c r="H142" s="18"/>
    </row>
    <row r="143" spans="5:8" x14ac:dyDescent="0.25">
      <c r="E143" s="17" t="str">
        <f>IF(F143&lt;&gt;"",_xlfn.XLOOKUP(TEXT(F143,"#"),'Att log'!$B$6:$B$501,'Att log'!$A$6:$A$501,"X"),"")</f>
        <v/>
      </c>
      <c r="F143" s="17"/>
      <c r="H143" s="18"/>
    </row>
    <row r="144" spans="5:8" x14ac:dyDescent="0.25">
      <c r="E144" s="17" t="str">
        <f>IF(F144&lt;&gt;"",_xlfn.XLOOKUP(TEXT(F144,"#"),'Att log'!$B$6:$B$501,'Att log'!$A$6:$A$501,"X"),"")</f>
        <v/>
      </c>
      <c r="F144" s="17"/>
      <c r="H144" s="18"/>
    </row>
    <row r="145" spans="5:8" x14ac:dyDescent="0.25">
      <c r="E145" s="17" t="str">
        <f>IF(F145&lt;&gt;"",_xlfn.XLOOKUP(TEXT(F145,"#"),'Att log'!$B$6:$B$501,'Att log'!$A$6:$A$501,"X"),"")</f>
        <v/>
      </c>
      <c r="F145" s="17"/>
      <c r="H145" s="18"/>
    </row>
    <row r="146" spans="5:8" x14ac:dyDescent="0.25">
      <c r="E146" s="17" t="str">
        <f>IF(F146&lt;&gt;"",_xlfn.XLOOKUP(TEXT(F146,"#"),'Att log'!$B$6:$B$501,'Att log'!$A$6:$A$501,"X"),"")</f>
        <v/>
      </c>
      <c r="F146" s="17"/>
      <c r="H146" s="18"/>
    </row>
    <row r="147" spans="5:8" x14ac:dyDescent="0.25">
      <c r="E147" s="17" t="str">
        <f>IF(F147&lt;&gt;"",_xlfn.XLOOKUP(TEXT(F147,"#"),'Att log'!$B$6:$B$501,'Att log'!$A$6:$A$501,"X"),"")</f>
        <v/>
      </c>
      <c r="F147" s="17"/>
      <c r="H147" s="18"/>
    </row>
    <row r="148" spans="5:8" x14ac:dyDescent="0.25">
      <c r="E148" s="17" t="str">
        <f>IF(F148&lt;&gt;"",_xlfn.XLOOKUP(TEXT(F148,"#"),'Att log'!$B$6:$B$501,'Att log'!$A$6:$A$501,"X"),"")</f>
        <v/>
      </c>
      <c r="F148" s="17"/>
      <c r="H148" s="18"/>
    </row>
    <row r="149" spans="5:8" x14ac:dyDescent="0.25">
      <c r="E149" s="17" t="str">
        <f>IF(F149&lt;&gt;"",_xlfn.XLOOKUP(TEXT(F149,"#"),'Att log'!$B$6:$B$501,'Att log'!$A$6:$A$501,"X"),"")</f>
        <v/>
      </c>
      <c r="F149" s="17"/>
      <c r="H149" s="18"/>
    </row>
    <row r="150" spans="5:8" x14ac:dyDescent="0.25">
      <c r="E150" s="17" t="str">
        <f>IF(F150&lt;&gt;"",_xlfn.XLOOKUP(TEXT(F150,"#"),'Att log'!$B$6:$B$501,'Att log'!$A$6:$A$501,"X"),"")</f>
        <v/>
      </c>
      <c r="F150" s="17"/>
      <c r="H150" s="18"/>
    </row>
    <row r="151" spans="5:8" x14ac:dyDescent="0.25">
      <c r="E151" s="17" t="str">
        <f>IF(F151&lt;&gt;"",_xlfn.XLOOKUP(TEXT(F151,"#"),'Att log'!$B$6:$B$501,'Att log'!$A$6:$A$501,"X"),"")</f>
        <v/>
      </c>
      <c r="F151" s="17"/>
      <c r="H151" s="18"/>
    </row>
    <row r="152" spans="5:8" x14ac:dyDescent="0.25">
      <c r="E152" s="17" t="str">
        <f>IF(F152&lt;&gt;"",_xlfn.XLOOKUP(TEXT(F152,"#"),'Att log'!$B$6:$B$501,'Att log'!$A$6:$A$501,"X"),"")</f>
        <v/>
      </c>
      <c r="F152" s="17"/>
      <c r="H152" s="18"/>
    </row>
    <row r="153" spans="5:8" x14ac:dyDescent="0.25">
      <c r="E153" s="17" t="str">
        <f>IF(F153&lt;&gt;"",_xlfn.XLOOKUP(TEXT(F153,"#"),'Att log'!$B$6:$B$501,'Att log'!$A$6:$A$501,"X"),"")</f>
        <v/>
      </c>
      <c r="F153" s="17"/>
      <c r="H153" s="18"/>
    </row>
    <row r="154" spans="5:8" x14ac:dyDescent="0.25">
      <c r="E154" s="17" t="str">
        <f>IF(F154&lt;&gt;"",_xlfn.XLOOKUP(TEXT(F154,"#"),'Att log'!$B$6:$B$501,'Att log'!$A$6:$A$501,"X"),"")</f>
        <v/>
      </c>
      <c r="F154" s="17"/>
      <c r="H154" s="18"/>
    </row>
    <row r="155" spans="5:8" x14ac:dyDescent="0.25">
      <c r="E155" s="17" t="str">
        <f>IF(F155&lt;&gt;"",_xlfn.XLOOKUP(TEXT(F155,"#"),'Att log'!$B$6:$B$501,'Att log'!$A$6:$A$501,"X"),"")</f>
        <v/>
      </c>
      <c r="F155" s="17"/>
      <c r="H155" s="18"/>
    </row>
    <row r="156" spans="5:8" x14ac:dyDescent="0.25">
      <c r="E156" s="17" t="str">
        <f>IF(F156&lt;&gt;"",_xlfn.XLOOKUP(TEXT(F156,"#"),'Att log'!$B$6:$B$501,'Att log'!$A$6:$A$501,"X"),"")</f>
        <v/>
      </c>
      <c r="F156" s="17"/>
      <c r="H156" s="18"/>
    </row>
    <row r="157" spans="5:8" x14ac:dyDescent="0.25">
      <c r="E157" s="17" t="str">
        <f>IF(F157&lt;&gt;"",_xlfn.XLOOKUP(TEXT(F157,"#"),'Att log'!$B$6:$B$501,'Att log'!$A$6:$A$501,"X"),"")</f>
        <v/>
      </c>
      <c r="F157" s="17"/>
      <c r="H157" s="18"/>
    </row>
    <row r="158" spans="5:8" x14ac:dyDescent="0.25">
      <c r="E158" s="17" t="str">
        <f>IF(F158&lt;&gt;"",_xlfn.XLOOKUP(TEXT(F158,"#"),'Att log'!$B$6:$B$501,'Att log'!$A$6:$A$501,"X"),"")</f>
        <v/>
      </c>
      <c r="F158" s="17"/>
      <c r="H158" s="18"/>
    </row>
    <row r="159" spans="5:8" x14ac:dyDescent="0.25">
      <c r="E159" s="17" t="str">
        <f>IF(F159&lt;&gt;"",_xlfn.XLOOKUP(TEXT(F159,"#"),'Att log'!$B$6:$B$501,'Att log'!$A$6:$A$501,"X"),"")</f>
        <v/>
      </c>
      <c r="F159" s="17"/>
      <c r="H159" s="18"/>
    </row>
    <row r="160" spans="5:8" x14ac:dyDescent="0.25">
      <c r="E160" s="17" t="str">
        <f>IF(F160&lt;&gt;"",_xlfn.XLOOKUP(TEXT(F160,"#"),'Att log'!$B$6:$B$501,'Att log'!$A$6:$A$501,"X"),"")</f>
        <v/>
      </c>
      <c r="F160" s="17"/>
      <c r="H160" s="18"/>
    </row>
    <row r="161" spans="5:8" x14ac:dyDescent="0.25">
      <c r="E161" s="17" t="str">
        <f>IF(F161&lt;&gt;"",_xlfn.XLOOKUP(TEXT(F161,"#"),'Att log'!$B$6:$B$501,'Att log'!$A$6:$A$501,"X"),"")</f>
        <v/>
      </c>
      <c r="F161" s="17"/>
      <c r="H161" s="18"/>
    </row>
    <row r="162" spans="5:8" x14ac:dyDescent="0.25">
      <c r="E162" s="17" t="str">
        <f>IF(F162&lt;&gt;"",_xlfn.XLOOKUP(TEXT(F162,"#"),'Att log'!$B$6:$B$501,'Att log'!$A$6:$A$501,"X"),"")</f>
        <v/>
      </c>
      <c r="F162" s="17"/>
      <c r="H162" s="18"/>
    </row>
    <row r="163" spans="5:8" x14ac:dyDescent="0.25">
      <c r="E163" s="17" t="str">
        <f>IF(F163&lt;&gt;"",_xlfn.XLOOKUP(TEXT(F163,"#"),'Att log'!$B$6:$B$501,'Att log'!$A$6:$A$501,"X"),"")</f>
        <v/>
      </c>
      <c r="F163" s="17"/>
      <c r="H163" s="18"/>
    </row>
    <row r="164" spans="5:8" x14ac:dyDescent="0.25">
      <c r="E164" s="17" t="str">
        <f>IF(F164&lt;&gt;"",_xlfn.XLOOKUP(TEXT(F164,"#"),'Att log'!$B$6:$B$501,'Att log'!$A$6:$A$501,"X"),"")</f>
        <v/>
      </c>
      <c r="F164" s="17"/>
      <c r="H164" s="18"/>
    </row>
    <row r="165" spans="5:8" x14ac:dyDescent="0.25">
      <c r="E165" s="17" t="str">
        <f>IF(F165&lt;&gt;"",_xlfn.XLOOKUP(TEXT(F165,"#"),'Att log'!$B$6:$B$501,'Att log'!$A$6:$A$501,"X"),"")</f>
        <v/>
      </c>
      <c r="F165" s="17"/>
      <c r="H165" s="18"/>
    </row>
    <row r="166" spans="5:8" x14ac:dyDescent="0.25">
      <c r="E166" s="17" t="str">
        <f>IF(F166&lt;&gt;"",_xlfn.XLOOKUP(TEXT(F166,"#"),'Att log'!$B$6:$B$501,'Att log'!$A$6:$A$501,"X"),"")</f>
        <v/>
      </c>
      <c r="F166" s="17"/>
      <c r="H166" s="18"/>
    </row>
    <row r="167" spans="5:8" x14ac:dyDescent="0.25">
      <c r="E167" s="17" t="str">
        <f>IF(F167&lt;&gt;"",_xlfn.XLOOKUP(TEXT(F167,"#"),'Att log'!$B$6:$B$501,'Att log'!$A$6:$A$501,"X"),"")</f>
        <v/>
      </c>
      <c r="F167" s="17"/>
      <c r="H167" s="18"/>
    </row>
    <row r="168" spans="5:8" x14ac:dyDescent="0.25">
      <c r="E168" s="17" t="str">
        <f>IF(F168&lt;&gt;"",_xlfn.XLOOKUP(TEXT(F168,"#"),'Att log'!$B$6:$B$501,'Att log'!$A$6:$A$501,"X"),"")</f>
        <v/>
      </c>
      <c r="F168" s="17"/>
      <c r="H168" s="18"/>
    </row>
    <row r="169" spans="5:8" x14ac:dyDescent="0.25">
      <c r="E169" s="17" t="str">
        <f>IF(F169&lt;&gt;"",_xlfn.XLOOKUP(TEXT(F169,"#"),'Att log'!$B$6:$B$501,'Att log'!$A$6:$A$501,"X"),"")</f>
        <v/>
      </c>
      <c r="F169" s="17"/>
      <c r="H169" s="18"/>
    </row>
    <row r="170" spans="5:8" x14ac:dyDescent="0.25">
      <c r="E170" s="17" t="str">
        <f>IF(F170&lt;&gt;"",_xlfn.XLOOKUP(TEXT(F170,"#"),'Att log'!$B$6:$B$501,'Att log'!$A$6:$A$501,"X"),"")</f>
        <v/>
      </c>
      <c r="F170" s="17"/>
      <c r="H170" s="18"/>
    </row>
    <row r="171" spans="5:8" x14ac:dyDescent="0.25">
      <c r="E171" s="17" t="str">
        <f>IF(F171&lt;&gt;"",_xlfn.XLOOKUP(TEXT(F171,"#"),'Att log'!$B$6:$B$501,'Att log'!$A$6:$A$501,"X"),"")</f>
        <v/>
      </c>
      <c r="F171" s="17"/>
      <c r="H171" s="18"/>
    </row>
    <row r="172" spans="5:8" x14ac:dyDescent="0.25">
      <c r="E172" s="17" t="str">
        <f>IF(F172&lt;&gt;"",_xlfn.XLOOKUP(TEXT(F172,"#"),'Att log'!$B$6:$B$501,'Att log'!$A$6:$A$501,"X"),"")</f>
        <v/>
      </c>
      <c r="F172" s="17"/>
      <c r="H172" s="18"/>
    </row>
    <row r="173" spans="5:8" x14ac:dyDescent="0.25">
      <c r="E173" s="17" t="str">
        <f>IF(F173&lt;&gt;"",_xlfn.XLOOKUP(TEXT(F173,"#"),'Att log'!$B$6:$B$501,'Att log'!$A$6:$A$501,"X"),"")</f>
        <v/>
      </c>
      <c r="F173" s="17"/>
      <c r="H173" s="18"/>
    </row>
    <row r="174" spans="5:8" x14ac:dyDescent="0.25">
      <c r="E174" s="17" t="str">
        <f>IF(F174&lt;&gt;"",_xlfn.XLOOKUP(TEXT(F174,"#"),'Att log'!$B$6:$B$501,'Att log'!$A$6:$A$501,"X"),"")</f>
        <v/>
      </c>
      <c r="F174" s="17"/>
      <c r="H174" s="18"/>
    </row>
    <row r="175" spans="5:8" x14ac:dyDescent="0.25">
      <c r="E175" s="17" t="str">
        <f>IF(F175&lt;&gt;"",_xlfn.XLOOKUP(TEXT(F175,"#"),'Att log'!$B$6:$B$501,'Att log'!$A$6:$A$501,"X"),"")</f>
        <v/>
      </c>
      <c r="F175" s="17"/>
      <c r="H175" s="18"/>
    </row>
    <row r="176" spans="5:8" x14ac:dyDescent="0.25">
      <c r="E176" s="17" t="str">
        <f>IF(F176&lt;&gt;"",_xlfn.XLOOKUP(TEXT(F176,"#"),'Att log'!$B$6:$B$501,'Att log'!$A$6:$A$501,"X"),"")</f>
        <v/>
      </c>
      <c r="F176" s="17"/>
      <c r="H176" s="18"/>
    </row>
    <row r="177" spans="5:8" x14ac:dyDescent="0.25">
      <c r="E177" s="17" t="str">
        <f>IF(F177&lt;&gt;"",_xlfn.XLOOKUP(TEXT(F177,"#"),'Att log'!$B$6:$B$501,'Att log'!$A$6:$A$501,"X"),"")</f>
        <v/>
      </c>
      <c r="F177" s="17"/>
      <c r="H177" s="18"/>
    </row>
    <row r="178" spans="5:8" x14ac:dyDescent="0.25">
      <c r="E178" s="17" t="str">
        <f>IF(F178&lt;&gt;"",_xlfn.XLOOKUP(TEXT(F178,"#"),'Att log'!$B$6:$B$501,'Att log'!$A$6:$A$501,"X"),"")</f>
        <v/>
      </c>
      <c r="F178" s="17"/>
      <c r="H178" s="18"/>
    </row>
    <row r="179" spans="5:8" x14ac:dyDescent="0.25">
      <c r="E179" s="17" t="str">
        <f>IF(F179&lt;&gt;"",_xlfn.XLOOKUP(TEXT(F179,"#"),'Att log'!$B$6:$B$501,'Att log'!$A$6:$A$501,"X"),"")</f>
        <v/>
      </c>
      <c r="F179" s="17"/>
      <c r="H179" s="18"/>
    </row>
    <row r="180" spans="5:8" x14ac:dyDescent="0.25">
      <c r="E180" s="17" t="str">
        <f>IF(F180&lt;&gt;"",_xlfn.XLOOKUP(TEXT(F180,"#"),'Att log'!$B$6:$B$501,'Att log'!$A$6:$A$501,"X"),"")</f>
        <v/>
      </c>
      <c r="F180" s="17"/>
      <c r="H180" s="18"/>
    </row>
    <row r="181" spans="5:8" x14ac:dyDescent="0.25">
      <c r="E181" s="17" t="str">
        <f>IF(F181&lt;&gt;"",_xlfn.XLOOKUP(TEXT(F181,"#"),'Att log'!$B$6:$B$501,'Att log'!$A$6:$A$501,"X"),"")</f>
        <v/>
      </c>
      <c r="F181" s="17"/>
      <c r="H181" s="18"/>
    </row>
    <row r="182" spans="5:8" x14ac:dyDescent="0.25">
      <c r="E182" s="17" t="str">
        <f>IF(F182&lt;&gt;"",_xlfn.XLOOKUP(TEXT(F182,"#"),'Att log'!$B$6:$B$501,'Att log'!$A$6:$A$501,"X"),"")</f>
        <v/>
      </c>
      <c r="F182" s="17"/>
      <c r="H182" s="18"/>
    </row>
    <row r="183" spans="5:8" x14ac:dyDescent="0.25">
      <c r="E183" s="17" t="str">
        <f>IF(F183&lt;&gt;"",_xlfn.XLOOKUP(TEXT(F183,"#"),'Att log'!$B$6:$B$501,'Att log'!$A$6:$A$501,"X"),"")</f>
        <v/>
      </c>
      <c r="F183" s="17"/>
      <c r="H183" s="18"/>
    </row>
    <row r="184" spans="5:8" x14ac:dyDescent="0.25">
      <c r="E184" s="17" t="str">
        <f>IF(F184&lt;&gt;"",_xlfn.XLOOKUP(TEXT(F184,"#"),'Att log'!$B$6:$B$501,'Att log'!$A$6:$A$501,"X"),"")</f>
        <v/>
      </c>
      <c r="F184" s="17"/>
      <c r="H184" s="18"/>
    </row>
    <row r="185" spans="5:8" x14ac:dyDescent="0.25">
      <c r="E185" s="17" t="str">
        <f>IF(F185&lt;&gt;"",_xlfn.XLOOKUP(TEXT(F185,"#"),'Att log'!$B$6:$B$501,'Att log'!$A$6:$A$501,"X"),"")</f>
        <v/>
      </c>
      <c r="F185" s="17"/>
      <c r="H185" s="18"/>
    </row>
    <row r="186" spans="5:8" x14ac:dyDescent="0.25">
      <c r="E186" s="17" t="str">
        <f>IF(F186&lt;&gt;"",_xlfn.XLOOKUP(TEXT(F186,"#"),'Att log'!$B$6:$B$501,'Att log'!$A$6:$A$501,"X"),"")</f>
        <v/>
      </c>
      <c r="F186" s="17"/>
      <c r="H186" s="18"/>
    </row>
    <row r="187" spans="5:8" x14ac:dyDescent="0.25">
      <c r="E187" s="17" t="str">
        <f>IF(F187&lt;&gt;"",_xlfn.XLOOKUP(TEXT(F187,"#"),'Att log'!$B$6:$B$501,'Att log'!$A$6:$A$501,"X"),"")</f>
        <v/>
      </c>
      <c r="F187" s="17"/>
      <c r="H187" s="18"/>
    </row>
    <row r="188" spans="5:8" x14ac:dyDescent="0.25">
      <c r="E188" s="17" t="str">
        <f>IF(F188&lt;&gt;"",_xlfn.XLOOKUP(TEXT(F188,"#"),'Att log'!$B$6:$B$501,'Att log'!$A$6:$A$501,"X"),"")</f>
        <v/>
      </c>
      <c r="F188" s="17"/>
      <c r="H188" s="18"/>
    </row>
    <row r="189" spans="5:8" x14ac:dyDescent="0.25">
      <c r="E189" s="17" t="str">
        <f>IF(F189&lt;&gt;"",_xlfn.XLOOKUP(TEXT(F189,"#"),'Att log'!$B$6:$B$501,'Att log'!$A$6:$A$501,"X"),"")</f>
        <v/>
      </c>
      <c r="F189" s="17"/>
      <c r="H189" s="18"/>
    </row>
    <row r="190" spans="5:8" x14ac:dyDescent="0.25">
      <c r="E190" s="17" t="str">
        <f>IF(F190&lt;&gt;"",_xlfn.XLOOKUP(TEXT(F190,"#"),'Att log'!$B$6:$B$501,'Att log'!$A$6:$A$501,"X"),"")</f>
        <v/>
      </c>
      <c r="F190" s="17"/>
      <c r="H190" s="18"/>
    </row>
    <row r="191" spans="5:8" x14ac:dyDescent="0.25">
      <c r="E191" s="17" t="str">
        <f>IF(F191&lt;&gt;"",_xlfn.XLOOKUP(TEXT(F191,"#"),'Att log'!$B$6:$B$501,'Att log'!$A$6:$A$501,"X"),"")</f>
        <v/>
      </c>
      <c r="F191" s="17"/>
      <c r="H191" s="18"/>
    </row>
    <row r="192" spans="5:8" x14ac:dyDescent="0.25">
      <c r="E192" s="17" t="str">
        <f>IF(F192&lt;&gt;"",_xlfn.XLOOKUP(TEXT(F192,"#"),'Att log'!$B$6:$B$501,'Att log'!$A$6:$A$501,"X"),"")</f>
        <v/>
      </c>
      <c r="F192" s="17"/>
      <c r="H192" s="18"/>
    </row>
    <row r="193" spans="5:8" x14ac:dyDescent="0.25">
      <c r="E193" s="17" t="str">
        <f>IF(F193&lt;&gt;"",_xlfn.XLOOKUP(TEXT(F193,"#"),'Att log'!$B$6:$B$501,'Att log'!$A$6:$A$501,"X"),"")</f>
        <v/>
      </c>
      <c r="F193" s="17"/>
      <c r="H193" s="18"/>
    </row>
    <row r="194" spans="5:8" x14ac:dyDescent="0.25">
      <c r="E194" s="17" t="str">
        <f>IF(F194&lt;&gt;"",_xlfn.XLOOKUP(TEXT(F194,"#"),'Att log'!$B$6:$B$501,'Att log'!$A$6:$A$501,"X"),"")</f>
        <v/>
      </c>
      <c r="F194" s="17"/>
      <c r="H194" s="18"/>
    </row>
    <row r="195" spans="5:8" x14ac:dyDescent="0.25">
      <c r="E195" s="17" t="str">
        <f>IF(F195&lt;&gt;"",_xlfn.XLOOKUP(TEXT(F195,"#"),'Att log'!$B$6:$B$501,'Att log'!$A$6:$A$501,"X"),"")</f>
        <v/>
      </c>
      <c r="F195" s="17"/>
      <c r="H195" s="18"/>
    </row>
    <row r="196" spans="5:8" x14ac:dyDescent="0.25">
      <c r="E196" s="17" t="str">
        <f>IF(F196&lt;&gt;"",_xlfn.XLOOKUP(TEXT(F196,"#"),'Att log'!$B$6:$B$501,'Att log'!$A$6:$A$501,"X"),"")</f>
        <v/>
      </c>
      <c r="F196" s="17"/>
      <c r="H196" s="18"/>
    </row>
    <row r="197" spans="5:8" x14ac:dyDescent="0.25">
      <c r="E197" s="17" t="str">
        <f>IF(F197&lt;&gt;"",_xlfn.XLOOKUP(TEXT(F197,"#"),'Att log'!$B$6:$B$501,'Att log'!$A$6:$A$501,"X"),"")</f>
        <v/>
      </c>
      <c r="F197" s="17"/>
      <c r="H197" s="18"/>
    </row>
    <row r="198" spans="5:8" x14ac:dyDescent="0.25">
      <c r="E198" s="17" t="str">
        <f>IF(F198&lt;&gt;"",_xlfn.XLOOKUP(TEXT(F198,"#"),'Att log'!$B$6:$B$501,'Att log'!$A$6:$A$501,"X"),"")</f>
        <v/>
      </c>
      <c r="F198" s="17"/>
      <c r="H198" s="18"/>
    </row>
    <row r="199" spans="5:8" x14ac:dyDescent="0.25">
      <c r="E199" s="17" t="str">
        <f>IF(F199&lt;&gt;"",_xlfn.XLOOKUP(TEXT(F199,"#"),'Att log'!$B$6:$B$501,'Att log'!$A$6:$A$501,"X"),"")</f>
        <v/>
      </c>
      <c r="F199" s="17"/>
      <c r="H199" s="18"/>
    </row>
    <row r="200" spans="5:8" x14ac:dyDescent="0.25">
      <c r="E200" s="17" t="str">
        <f>IF(F200&lt;&gt;"",_xlfn.XLOOKUP(TEXT(F200,"#"),'Att log'!$B$6:$B$501,'Att log'!$A$6:$A$501,"X"),"")</f>
        <v/>
      </c>
      <c r="F200" s="17"/>
      <c r="H200" s="18"/>
    </row>
    <row r="201" spans="5:8" x14ac:dyDescent="0.25">
      <c r="E201" s="17" t="str">
        <f>IF(F201&lt;&gt;"",_xlfn.XLOOKUP(TEXT(F201,"#"),'Att log'!$B$6:$B$501,'Att log'!$A$6:$A$501,"X"),"")</f>
        <v/>
      </c>
      <c r="F201" s="17"/>
      <c r="H201" s="18"/>
    </row>
    <row r="202" spans="5:8" x14ac:dyDescent="0.25">
      <c r="E202" s="17" t="str">
        <f>IF(F202&lt;&gt;"",_xlfn.XLOOKUP(TEXT(F202,"#"),'Att log'!$B$6:$B$501,'Att log'!$A$6:$A$501,"X"),"")</f>
        <v/>
      </c>
      <c r="F202" s="17"/>
      <c r="H202" s="18"/>
    </row>
    <row r="203" spans="5:8" x14ac:dyDescent="0.25">
      <c r="E203" s="17" t="str">
        <f>IF(F203&lt;&gt;"",_xlfn.XLOOKUP(TEXT(F203,"#"),'Att log'!$B$6:$B$501,'Att log'!$A$6:$A$501,"X"),"")</f>
        <v/>
      </c>
      <c r="F203" s="17"/>
      <c r="H203" s="18"/>
    </row>
    <row r="204" spans="5:8" x14ac:dyDescent="0.25">
      <c r="E204" s="17" t="str">
        <f>IF(F204&lt;&gt;"",_xlfn.XLOOKUP(TEXT(F204,"#"),'Att log'!$B$6:$B$501,'Att log'!$A$6:$A$501,"X"),"")</f>
        <v/>
      </c>
      <c r="F204" s="17"/>
      <c r="H204" s="18"/>
    </row>
    <row r="205" spans="5:8" x14ac:dyDescent="0.25">
      <c r="E205" s="17" t="str">
        <f>IF(F205&lt;&gt;"",_xlfn.XLOOKUP(TEXT(F205,"#"),'Att log'!$B$6:$B$501,'Att log'!$A$6:$A$501,"X"),"")</f>
        <v/>
      </c>
      <c r="F205" s="17"/>
      <c r="H205" s="18"/>
    </row>
    <row r="206" spans="5:8" x14ac:dyDescent="0.25">
      <c r="E206" s="17" t="str">
        <f>IF(F206&lt;&gt;"",_xlfn.XLOOKUP(TEXT(F206,"#"),'Att log'!$B$6:$B$501,'Att log'!$A$6:$A$501,"X"),"")</f>
        <v/>
      </c>
      <c r="F206" s="17"/>
      <c r="H206" s="18"/>
    </row>
    <row r="207" spans="5:8" x14ac:dyDescent="0.25">
      <c r="E207" s="17" t="str">
        <f>IF(F207&lt;&gt;"",_xlfn.XLOOKUP(TEXT(F207,"#"),'Att log'!$B$6:$B$501,'Att log'!$A$6:$A$501,"X"),"")</f>
        <v/>
      </c>
      <c r="F207" s="17"/>
      <c r="H207" s="18"/>
    </row>
    <row r="208" spans="5:8" x14ac:dyDescent="0.25">
      <c r="E208" s="17" t="str">
        <f>IF(F208&lt;&gt;"",_xlfn.XLOOKUP(TEXT(F208,"#"),'Att log'!$B$6:$B$501,'Att log'!$A$6:$A$501,"X"),"")</f>
        <v/>
      </c>
      <c r="F208" s="17"/>
      <c r="H208" s="18"/>
    </row>
    <row r="209" spans="5:8" x14ac:dyDescent="0.25">
      <c r="E209" s="17" t="str">
        <f>IF(F209&lt;&gt;"",_xlfn.XLOOKUP(TEXT(F209,"#"),'Att log'!$B$6:$B$501,'Att log'!$A$6:$A$501,"X"),"")</f>
        <v/>
      </c>
      <c r="F209" s="17"/>
      <c r="H209" s="18"/>
    </row>
    <row r="210" spans="5:8" x14ac:dyDescent="0.25">
      <c r="E210" s="17" t="str">
        <f>IF(F210&lt;&gt;"",_xlfn.XLOOKUP(TEXT(F210,"#"),'Att log'!$B$6:$B$501,'Att log'!$A$6:$A$501,"X"),"")</f>
        <v/>
      </c>
      <c r="F210" s="17"/>
      <c r="H210" s="18"/>
    </row>
    <row r="211" spans="5:8" x14ac:dyDescent="0.25">
      <c r="E211" s="17" t="str">
        <f>IF(F211&lt;&gt;"",_xlfn.XLOOKUP(TEXT(F211,"#"),'Att log'!$B$6:$B$501,'Att log'!$A$6:$A$501,"X"),"")</f>
        <v/>
      </c>
      <c r="F211" s="17"/>
      <c r="H211" s="18"/>
    </row>
    <row r="212" spans="5:8" x14ac:dyDescent="0.25">
      <c r="E212" s="17" t="str">
        <f>IF(F212&lt;&gt;"",_xlfn.XLOOKUP(TEXT(F212,"#"),'Att log'!$B$6:$B$501,'Att log'!$A$6:$A$501,"X"),"")</f>
        <v/>
      </c>
      <c r="F212" s="17"/>
      <c r="H212" s="18"/>
    </row>
    <row r="213" spans="5:8" x14ac:dyDescent="0.25">
      <c r="E213" s="17" t="str">
        <f>IF(F213&lt;&gt;"",_xlfn.XLOOKUP(TEXT(F213,"#"),'Att log'!$B$6:$B$501,'Att log'!$A$6:$A$501,"X"),"")</f>
        <v/>
      </c>
      <c r="F213" s="17"/>
      <c r="H213" s="18"/>
    </row>
    <row r="214" spans="5:8" x14ac:dyDescent="0.25">
      <c r="E214" s="17" t="str">
        <f>IF(F214&lt;&gt;"",_xlfn.XLOOKUP(TEXT(F214,"#"),'Att log'!$B$6:$B$501,'Att log'!$A$6:$A$501,"X"),"")</f>
        <v/>
      </c>
      <c r="F214" s="17"/>
      <c r="H214" s="18"/>
    </row>
    <row r="215" spans="5:8" x14ac:dyDescent="0.25">
      <c r="E215" s="17" t="str">
        <f>IF(F215&lt;&gt;"",_xlfn.XLOOKUP(TEXT(F215,"#"),'Att log'!$B$6:$B$501,'Att log'!$A$6:$A$501,"X"),"")</f>
        <v/>
      </c>
      <c r="F215" s="17"/>
      <c r="H215" s="18"/>
    </row>
    <row r="216" spans="5:8" x14ac:dyDescent="0.25">
      <c r="E216" s="17" t="str">
        <f>IF(F216&lt;&gt;"",_xlfn.XLOOKUP(TEXT(F216,"#"),'Att log'!$B$6:$B$501,'Att log'!$A$6:$A$501,"X"),"")</f>
        <v/>
      </c>
      <c r="F216" s="17"/>
      <c r="H216" s="18"/>
    </row>
    <row r="217" spans="5:8" x14ac:dyDescent="0.25">
      <c r="E217" s="17" t="str">
        <f>IF(F217&lt;&gt;"",_xlfn.XLOOKUP(TEXT(F217,"#"),'Att log'!$B$6:$B$501,'Att log'!$A$6:$A$501,"X"),"")</f>
        <v/>
      </c>
      <c r="F217" s="17"/>
      <c r="H217" s="18"/>
    </row>
    <row r="218" spans="5:8" x14ac:dyDescent="0.25">
      <c r="E218" s="17" t="str">
        <f>IF(F218&lt;&gt;"",_xlfn.XLOOKUP(TEXT(F218,"#"),'Att log'!$B$6:$B$501,'Att log'!$A$6:$A$501,"X"),"")</f>
        <v/>
      </c>
      <c r="F218" s="17"/>
      <c r="H218" s="18"/>
    </row>
    <row r="219" spans="5:8" x14ac:dyDescent="0.25">
      <c r="E219" s="17" t="str">
        <f>IF(F219&lt;&gt;"",_xlfn.XLOOKUP(TEXT(F219,"#"),'Att log'!$B$6:$B$501,'Att log'!$A$6:$A$501,"X"),"")</f>
        <v/>
      </c>
      <c r="F219" s="17"/>
      <c r="H219" s="18"/>
    </row>
    <row r="220" spans="5:8" x14ac:dyDescent="0.25">
      <c r="E220" s="17" t="str">
        <f>IF(F220&lt;&gt;"",_xlfn.XLOOKUP(TEXT(F220,"#"),'Att log'!$B$6:$B$501,'Att log'!$A$6:$A$501,"X"),"")</f>
        <v/>
      </c>
      <c r="F220" s="17"/>
      <c r="H220" s="18"/>
    </row>
    <row r="221" spans="5:8" x14ac:dyDescent="0.25">
      <c r="E221" s="17" t="str">
        <f>IF(F221&lt;&gt;"",_xlfn.XLOOKUP(TEXT(F221,"#"),'Att log'!$B$6:$B$501,'Att log'!$A$6:$A$501,"X"),"")</f>
        <v/>
      </c>
      <c r="F221" s="17"/>
      <c r="H221" s="18"/>
    </row>
    <row r="222" spans="5:8" x14ac:dyDescent="0.25">
      <c r="E222" s="17" t="str">
        <f>IF(F222&lt;&gt;"",_xlfn.XLOOKUP(TEXT(F222,"#"),'Att log'!$B$6:$B$501,'Att log'!$A$6:$A$501,"X"),"")</f>
        <v/>
      </c>
      <c r="F222" s="17"/>
      <c r="H222" s="18"/>
    </row>
    <row r="223" spans="5:8" x14ac:dyDescent="0.25">
      <c r="E223" s="17" t="str">
        <f>IF(F223&lt;&gt;"",_xlfn.XLOOKUP(TEXT(F223,"#"),'Att log'!$B$6:$B$501,'Att log'!$A$6:$A$501,"X"),"")</f>
        <v/>
      </c>
      <c r="F223" s="17"/>
      <c r="H223" s="18"/>
    </row>
    <row r="224" spans="5:8" x14ac:dyDescent="0.25">
      <c r="E224" s="17" t="str">
        <f>IF(F224&lt;&gt;"",_xlfn.XLOOKUP(TEXT(F224,"#"),'Att log'!$B$6:$B$501,'Att log'!$A$6:$A$501,"X"),"")</f>
        <v/>
      </c>
      <c r="F224" s="17"/>
      <c r="H224" s="18"/>
    </row>
    <row r="225" spans="5:8" x14ac:dyDescent="0.25">
      <c r="E225" s="17" t="str">
        <f>IF(F225&lt;&gt;"",_xlfn.XLOOKUP(TEXT(F225,"#"),'Att log'!$B$6:$B$501,'Att log'!$A$6:$A$501,"X"),"")</f>
        <v/>
      </c>
      <c r="F225" s="17"/>
      <c r="H225" s="18"/>
    </row>
    <row r="226" spans="5:8" x14ac:dyDescent="0.25">
      <c r="E226" s="17" t="str">
        <f>IF(F226&lt;&gt;"",_xlfn.XLOOKUP(TEXT(F226,"#"),'Att log'!$B$6:$B$501,'Att log'!$A$6:$A$501,"X"),"")</f>
        <v/>
      </c>
      <c r="F226" s="17"/>
      <c r="H226" s="18"/>
    </row>
    <row r="227" spans="5:8" x14ac:dyDescent="0.25">
      <c r="E227" s="17" t="str">
        <f>IF(F227&lt;&gt;"",_xlfn.XLOOKUP(TEXT(F227,"#"),'Att log'!$B$6:$B$501,'Att log'!$A$6:$A$501,"X"),"")</f>
        <v/>
      </c>
      <c r="F227" s="17"/>
      <c r="H227" s="18"/>
    </row>
    <row r="228" spans="5:8" x14ac:dyDescent="0.25">
      <c r="E228" s="17" t="str">
        <f>IF(F228&lt;&gt;"",_xlfn.XLOOKUP(TEXT(F228,"#"),'Att log'!$B$6:$B$501,'Att log'!$A$6:$A$501,"X"),"")</f>
        <v/>
      </c>
      <c r="F228" s="17"/>
      <c r="H228" s="18"/>
    </row>
    <row r="229" spans="5:8" x14ac:dyDescent="0.25">
      <c r="E229" s="17" t="str">
        <f>IF(F229&lt;&gt;"",_xlfn.XLOOKUP(TEXT(F229,"#"),'Att log'!$B$6:$B$501,'Att log'!$A$6:$A$501,"X"),"")</f>
        <v/>
      </c>
      <c r="F229" s="17"/>
      <c r="H229" s="18"/>
    </row>
    <row r="230" spans="5:8" x14ac:dyDescent="0.25">
      <c r="E230" s="17" t="str">
        <f>IF(F230&lt;&gt;"",_xlfn.XLOOKUP(TEXT(F230,"#"),'Att log'!$B$6:$B$501,'Att log'!$A$6:$A$501,"X"),"")</f>
        <v/>
      </c>
      <c r="F230" s="17"/>
      <c r="H230" s="18"/>
    </row>
    <row r="231" spans="5:8" x14ac:dyDescent="0.25">
      <c r="E231" s="17" t="str">
        <f>IF(F231&lt;&gt;"",_xlfn.XLOOKUP(TEXT(F231,"#"),'Att log'!$B$6:$B$501,'Att log'!$A$6:$A$501,"X"),"")</f>
        <v/>
      </c>
      <c r="F231" s="17"/>
      <c r="H231" s="18"/>
    </row>
    <row r="232" spans="5:8" x14ac:dyDescent="0.25">
      <c r="E232" s="17" t="str">
        <f>IF(F232&lt;&gt;"",_xlfn.XLOOKUP(TEXT(F232,"#"),'Att log'!$B$6:$B$501,'Att log'!$A$6:$A$501,"X"),"")</f>
        <v/>
      </c>
      <c r="F232" s="17"/>
      <c r="H232" s="18"/>
    </row>
    <row r="233" spans="5:8" x14ac:dyDescent="0.25">
      <c r="E233" s="17" t="str">
        <f>IF(F233&lt;&gt;"",_xlfn.XLOOKUP(TEXT(F233,"#"),'Att log'!$B$6:$B$501,'Att log'!$A$6:$A$501,"X"),"")</f>
        <v/>
      </c>
      <c r="F233" s="17"/>
      <c r="H233" s="18"/>
    </row>
    <row r="234" spans="5:8" x14ac:dyDescent="0.25">
      <c r="E234" s="17" t="str">
        <f>IF(F234&lt;&gt;"",_xlfn.XLOOKUP(TEXT(F234,"#"),'Att log'!$B$6:$B$501,'Att log'!$A$6:$A$501,"X"),"")</f>
        <v/>
      </c>
      <c r="F234" s="17"/>
      <c r="H234" s="18"/>
    </row>
    <row r="235" spans="5:8" x14ac:dyDescent="0.25">
      <c r="E235" s="17" t="str">
        <f>IF(F235&lt;&gt;"",_xlfn.XLOOKUP(TEXT(F235,"#"),'Att log'!$B$6:$B$501,'Att log'!$A$6:$A$501,"X"),"")</f>
        <v/>
      </c>
      <c r="F235" s="17"/>
      <c r="H235" s="18"/>
    </row>
    <row r="236" spans="5:8" x14ac:dyDescent="0.25">
      <c r="E236" s="17" t="str">
        <f>IF(F236&lt;&gt;"",_xlfn.XLOOKUP(TEXT(F236,"#"),'Att log'!$B$6:$B$501,'Att log'!$A$6:$A$501,"X"),"")</f>
        <v/>
      </c>
      <c r="F236" s="17"/>
      <c r="H236" s="18"/>
    </row>
    <row r="237" spans="5:8" x14ac:dyDescent="0.25">
      <c r="E237" s="17" t="str">
        <f>IF(F237&lt;&gt;"",_xlfn.XLOOKUP(TEXT(F237,"#"),'Att log'!$B$6:$B$501,'Att log'!$A$6:$A$501,"X"),"")</f>
        <v/>
      </c>
      <c r="F237" s="17"/>
      <c r="H237" s="18"/>
    </row>
    <row r="238" spans="5:8" x14ac:dyDescent="0.25">
      <c r="E238" s="17" t="str">
        <f>IF(F238&lt;&gt;"",_xlfn.XLOOKUP(TEXT(F238,"#"),'Att log'!$B$6:$B$501,'Att log'!$A$6:$A$501,"X"),"")</f>
        <v/>
      </c>
      <c r="F238" s="17"/>
      <c r="H238" s="18"/>
    </row>
    <row r="239" spans="5:8" x14ac:dyDescent="0.25">
      <c r="E239" s="17" t="str">
        <f>IF(F239&lt;&gt;"",_xlfn.XLOOKUP(TEXT(F239,"#"),'Att log'!$B$6:$B$501,'Att log'!$A$6:$A$501,"X"),"")</f>
        <v/>
      </c>
      <c r="F239" s="17"/>
      <c r="H239" s="18"/>
    </row>
    <row r="240" spans="5:8" x14ac:dyDescent="0.25">
      <c r="E240" s="17" t="str">
        <f>IF(F240&lt;&gt;"",_xlfn.XLOOKUP(TEXT(F240,"#"),'Att log'!$B$6:$B$501,'Att log'!$A$6:$A$501,"X"),"")</f>
        <v/>
      </c>
      <c r="F240" s="17"/>
      <c r="H240" s="18"/>
    </row>
    <row r="241" spans="5:8" x14ac:dyDescent="0.25">
      <c r="E241" s="17" t="str">
        <f>IF(F241&lt;&gt;"",_xlfn.XLOOKUP(TEXT(F241,"#"),'Att log'!$B$6:$B$501,'Att log'!$A$6:$A$501,"X"),"")</f>
        <v/>
      </c>
      <c r="F241" s="17"/>
      <c r="H241" s="18"/>
    </row>
    <row r="242" spans="5:8" x14ac:dyDescent="0.25">
      <c r="E242" s="17" t="str">
        <f>IF(F242&lt;&gt;"",_xlfn.XLOOKUP(TEXT(F242,"#"),'Att log'!$B$6:$B$501,'Att log'!$A$6:$A$501,"X"),"")</f>
        <v/>
      </c>
      <c r="F242" s="17"/>
      <c r="H242" s="18"/>
    </row>
    <row r="243" spans="5:8" x14ac:dyDescent="0.25">
      <c r="E243" s="17" t="str">
        <f>IF(F243&lt;&gt;"",_xlfn.XLOOKUP(TEXT(F243,"#"),'Att log'!$B$6:$B$501,'Att log'!$A$6:$A$501,"X"),"")</f>
        <v/>
      </c>
      <c r="F243" s="17"/>
      <c r="H243" s="18"/>
    </row>
    <row r="244" spans="5:8" x14ac:dyDescent="0.25">
      <c r="E244" s="17" t="str">
        <f>IF(F244&lt;&gt;"",_xlfn.XLOOKUP(TEXT(F244,"#"),'Att log'!$B$6:$B$501,'Att log'!$A$6:$A$501,"X"),"")</f>
        <v/>
      </c>
      <c r="F244" s="17"/>
      <c r="H244" s="18"/>
    </row>
    <row r="245" spans="5:8" x14ac:dyDescent="0.25">
      <c r="E245" s="17" t="str">
        <f>IF(F245&lt;&gt;"",_xlfn.XLOOKUP(TEXT(F245,"#"),'Att log'!$B$6:$B$501,'Att log'!$A$6:$A$501,"X"),"")</f>
        <v/>
      </c>
      <c r="F245" s="17"/>
      <c r="H245" s="18"/>
    </row>
    <row r="246" spans="5:8" x14ac:dyDescent="0.25">
      <c r="E246" s="17" t="str">
        <f>IF(F246&lt;&gt;"",_xlfn.XLOOKUP(TEXT(F246,"#"),'Att log'!$B$6:$B$501,'Att log'!$A$6:$A$501,"X"),"")</f>
        <v/>
      </c>
      <c r="F246" s="17"/>
      <c r="H246" s="18"/>
    </row>
    <row r="247" spans="5:8" x14ac:dyDescent="0.25">
      <c r="E247" s="17" t="str">
        <f>IF(F247&lt;&gt;"",_xlfn.XLOOKUP(TEXT(F247,"#"),'Att log'!$B$6:$B$501,'Att log'!$A$6:$A$501,"X"),"")</f>
        <v/>
      </c>
      <c r="F247" s="17"/>
      <c r="H247" s="18"/>
    </row>
    <row r="248" spans="5:8" x14ac:dyDescent="0.25">
      <c r="E248" s="17" t="str">
        <f>IF(F248&lt;&gt;"",_xlfn.XLOOKUP(TEXT(F248,"#"),'Att log'!$B$6:$B$501,'Att log'!$A$6:$A$501,"X"),"")</f>
        <v/>
      </c>
      <c r="F248" s="17"/>
      <c r="H248" s="18"/>
    </row>
    <row r="249" spans="5:8" x14ac:dyDescent="0.25">
      <c r="E249" s="17" t="str">
        <f>IF(F249&lt;&gt;"",_xlfn.XLOOKUP(TEXT(F249,"#"),'Att log'!$B$6:$B$501,'Att log'!$A$6:$A$501,"X"),"")</f>
        <v/>
      </c>
      <c r="F249" s="17"/>
      <c r="H249" s="18"/>
    </row>
    <row r="250" spans="5:8" x14ac:dyDescent="0.25">
      <c r="E250" s="17" t="str">
        <f>IF(F250&lt;&gt;"",_xlfn.XLOOKUP(TEXT(F250,"#"),'Att log'!$B$6:$B$501,'Att log'!$A$6:$A$501,"X"),"")</f>
        <v/>
      </c>
      <c r="F250" s="17"/>
      <c r="H250" s="18"/>
    </row>
    <row r="251" spans="5:8" x14ac:dyDescent="0.25">
      <c r="E251" s="17" t="str">
        <f>IF(F251&lt;&gt;"",_xlfn.XLOOKUP(TEXT(F251,"#"),'Att log'!$B$6:$B$501,'Att log'!$A$6:$A$501,"X"),"")</f>
        <v/>
      </c>
      <c r="F251" s="17"/>
      <c r="H251" s="18"/>
    </row>
    <row r="252" spans="5:8" x14ac:dyDescent="0.25">
      <c r="E252" s="17" t="str">
        <f>IF(F252&lt;&gt;"",_xlfn.XLOOKUP(TEXT(F252,"#"),'Att log'!$B$6:$B$501,'Att log'!$A$6:$A$501,"X"),"")</f>
        <v/>
      </c>
      <c r="F252" s="17"/>
      <c r="H252" s="18"/>
    </row>
    <row r="253" spans="5:8" x14ac:dyDescent="0.25">
      <c r="E253" s="17" t="str">
        <f>IF(F253&lt;&gt;"",_xlfn.XLOOKUP(TEXT(F253,"#"),'Att log'!$B$6:$B$501,'Att log'!$A$6:$A$501,"X"),"")</f>
        <v/>
      </c>
      <c r="F253" s="17"/>
      <c r="H253" s="18"/>
    </row>
    <row r="254" spans="5:8" x14ac:dyDescent="0.25">
      <c r="E254" s="17" t="str">
        <f>IF(F254&lt;&gt;"",_xlfn.XLOOKUP(TEXT(F254,"#"),'Att log'!$B$6:$B$501,'Att log'!$A$6:$A$501,"X"),"")</f>
        <v/>
      </c>
      <c r="F254" s="17"/>
      <c r="H254" s="18"/>
    </row>
    <row r="255" spans="5:8" x14ac:dyDescent="0.25">
      <c r="E255" s="17" t="str">
        <f>IF(F255&lt;&gt;"",_xlfn.XLOOKUP(TEXT(F255,"#"),'Att log'!$B$6:$B$501,'Att log'!$A$6:$A$501,"X"),"")</f>
        <v/>
      </c>
      <c r="F255" s="17"/>
      <c r="H255" s="18"/>
    </row>
    <row r="256" spans="5:8" x14ac:dyDescent="0.25">
      <c r="E256" s="17" t="str">
        <f>IF(F256&lt;&gt;"",_xlfn.XLOOKUP(TEXT(F256,"#"),'Att log'!$B$6:$B$501,'Att log'!$A$6:$A$501,"X"),"")</f>
        <v/>
      </c>
      <c r="F256" s="17"/>
      <c r="H256" s="18"/>
    </row>
    <row r="257" spans="5:8" x14ac:dyDescent="0.25">
      <c r="E257" s="17" t="str">
        <f>IF(F257&lt;&gt;"",_xlfn.XLOOKUP(TEXT(F257,"#"),'Att log'!$B$6:$B$501,'Att log'!$A$6:$A$501,"X"),"")</f>
        <v/>
      </c>
      <c r="F257" s="17"/>
      <c r="H257" s="18"/>
    </row>
    <row r="258" spans="5:8" x14ac:dyDescent="0.25">
      <c r="E258" s="17" t="str">
        <f>IF(F258&lt;&gt;"",_xlfn.XLOOKUP(TEXT(F258,"#"),'Att log'!$B$6:$B$501,'Att log'!$A$6:$A$501,"X"),"")</f>
        <v/>
      </c>
      <c r="F258" s="17"/>
      <c r="H258" s="18"/>
    </row>
    <row r="259" spans="5:8" x14ac:dyDescent="0.25">
      <c r="E259" s="17" t="str">
        <f>IF(F259&lt;&gt;"",_xlfn.XLOOKUP(TEXT(F259,"#"),'Att log'!$B$6:$B$501,'Att log'!$A$6:$A$501,"X"),"")</f>
        <v/>
      </c>
      <c r="F259" s="17"/>
      <c r="H259" s="18"/>
    </row>
    <row r="260" spans="5:8" x14ac:dyDescent="0.25">
      <c r="E260" s="17" t="str">
        <f>IF(F260&lt;&gt;"",_xlfn.XLOOKUP(TEXT(F260,"#"),'Att log'!$B$6:$B$501,'Att log'!$A$6:$A$501,"X"),"")</f>
        <v/>
      </c>
      <c r="F260" s="17"/>
      <c r="H260" s="18"/>
    </row>
    <row r="261" spans="5:8" x14ac:dyDescent="0.25">
      <c r="E261" s="17" t="str">
        <f>IF(F261&lt;&gt;"",_xlfn.XLOOKUP(TEXT(F261,"#"),'Att log'!$B$6:$B$501,'Att log'!$A$6:$A$501,"X"),"")</f>
        <v/>
      </c>
      <c r="F261" s="17"/>
      <c r="H261" s="18"/>
    </row>
    <row r="262" spans="5:8" x14ac:dyDescent="0.25">
      <c r="E262" s="17" t="str">
        <f>IF(F262&lt;&gt;"",_xlfn.XLOOKUP(TEXT(F262,"#"),'Att log'!$B$6:$B$501,'Att log'!$A$6:$A$501,"X"),"")</f>
        <v/>
      </c>
      <c r="F262" s="17"/>
      <c r="H262" s="18"/>
    </row>
    <row r="263" spans="5:8" x14ac:dyDescent="0.25">
      <c r="E263" s="17" t="str">
        <f>IF(F263&lt;&gt;"",_xlfn.XLOOKUP(TEXT(F263,"#"),'Att log'!$B$6:$B$501,'Att log'!$A$6:$A$501,"X"),"")</f>
        <v/>
      </c>
      <c r="F263" s="17"/>
      <c r="H263" s="18"/>
    </row>
    <row r="264" spans="5:8" x14ac:dyDescent="0.25">
      <c r="E264" s="17" t="str">
        <f>IF(F264&lt;&gt;"",_xlfn.XLOOKUP(TEXT(F264,"#"),'Att log'!$B$6:$B$501,'Att log'!$A$6:$A$501,"X"),"")</f>
        <v/>
      </c>
      <c r="F264" s="17"/>
      <c r="H264" s="18"/>
    </row>
    <row r="265" spans="5:8" x14ac:dyDescent="0.25">
      <c r="E265" s="17" t="str">
        <f>IF(F265&lt;&gt;"",_xlfn.XLOOKUP(TEXT(F265,"#"),'Att log'!$B$6:$B$501,'Att log'!$A$6:$A$501,"X"),"")</f>
        <v/>
      </c>
      <c r="F265" s="17"/>
      <c r="H265" s="18"/>
    </row>
    <row r="266" spans="5:8" x14ac:dyDescent="0.25">
      <c r="E266" s="17" t="str">
        <f>IF(F266&lt;&gt;"",_xlfn.XLOOKUP(TEXT(F266,"#"),'Att log'!$B$6:$B$501,'Att log'!$A$6:$A$501,"X"),"")</f>
        <v/>
      </c>
      <c r="F266" s="17"/>
      <c r="H266" s="18"/>
    </row>
    <row r="267" spans="5:8" x14ac:dyDescent="0.25">
      <c r="E267" s="17" t="str">
        <f>IF(F267&lt;&gt;"",_xlfn.XLOOKUP(TEXT(F267,"#"),'Att log'!$B$6:$B$501,'Att log'!$A$6:$A$501,"X"),"")</f>
        <v/>
      </c>
      <c r="F267" s="17"/>
      <c r="H267" s="18"/>
    </row>
    <row r="268" spans="5:8" x14ac:dyDescent="0.25">
      <c r="E268" s="17" t="str">
        <f>IF(F268&lt;&gt;"",_xlfn.XLOOKUP(TEXT(F268,"#"),'Att log'!$B$6:$B$501,'Att log'!$A$6:$A$501,"X"),"")</f>
        <v/>
      </c>
      <c r="F268" s="17"/>
      <c r="H268" s="18"/>
    </row>
    <row r="269" spans="5:8" x14ac:dyDescent="0.25">
      <c r="E269" s="17" t="str">
        <f>IF(F269&lt;&gt;"",_xlfn.XLOOKUP(TEXT(F269,"#"),'Att log'!$B$6:$B$501,'Att log'!$A$6:$A$501,"X"),"")</f>
        <v/>
      </c>
      <c r="F269" s="17"/>
      <c r="H269" s="18"/>
    </row>
    <row r="270" spans="5:8" x14ac:dyDescent="0.25">
      <c r="E270" s="17" t="str">
        <f>IF(F270&lt;&gt;"",_xlfn.XLOOKUP(TEXT(F270,"#"),'Att log'!$B$6:$B$501,'Att log'!$A$6:$A$501,"X"),"")</f>
        <v/>
      </c>
      <c r="F270" s="17"/>
      <c r="H270" s="18"/>
    </row>
    <row r="271" spans="5:8" x14ac:dyDescent="0.25">
      <c r="E271" s="17" t="str">
        <f>IF(F271&lt;&gt;"",_xlfn.XLOOKUP(TEXT(F271,"#"),'Att log'!$B$6:$B$501,'Att log'!$A$6:$A$501,"X"),"")</f>
        <v/>
      </c>
      <c r="F271" s="17"/>
      <c r="H271" s="18"/>
    </row>
    <row r="272" spans="5:8" x14ac:dyDescent="0.25">
      <c r="E272" s="17" t="str">
        <f>IF(F272&lt;&gt;"",_xlfn.XLOOKUP(TEXT(F272,"#"),'Att log'!$B$6:$B$501,'Att log'!$A$6:$A$501,"X"),"")</f>
        <v/>
      </c>
      <c r="F272" s="17"/>
      <c r="H272" s="18"/>
    </row>
    <row r="273" spans="5:8" x14ac:dyDescent="0.25">
      <c r="E273" s="17" t="str">
        <f>IF(F273&lt;&gt;"",_xlfn.XLOOKUP(TEXT(F273,"#"),'Att log'!$B$6:$B$501,'Att log'!$A$6:$A$501,"X"),"")</f>
        <v/>
      </c>
      <c r="F273" s="17"/>
      <c r="H273" s="18"/>
    </row>
    <row r="274" spans="5:8" x14ac:dyDescent="0.25">
      <c r="E274" s="17" t="str">
        <f>IF(F274&lt;&gt;"",_xlfn.XLOOKUP(TEXT(F274,"#"),'Att log'!$B$6:$B$501,'Att log'!$A$6:$A$501,"X"),"")</f>
        <v/>
      </c>
      <c r="F274" s="17"/>
      <c r="H274" s="18"/>
    </row>
    <row r="275" spans="5:8" x14ac:dyDescent="0.25">
      <c r="E275" s="17" t="str">
        <f>IF(F275&lt;&gt;"",_xlfn.XLOOKUP(TEXT(F275,"#"),'Att log'!$B$6:$B$501,'Att log'!$A$6:$A$501,"X"),"")</f>
        <v/>
      </c>
      <c r="F275" s="17"/>
      <c r="H275" s="18"/>
    </row>
    <row r="276" spans="5:8" x14ac:dyDescent="0.25">
      <c r="E276" s="17" t="str">
        <f>IF(F276&lt;&gt;"",_xlfn.XLOOKUP(TEXT(F276,"#"),'Att log'!$B$6:$B$501,'Att log'!$A$6:$A$501,"X"),"")</f>
        <v/>
      </c>
      <c r="F276" s="17"/>
      <c r="H276" s="18"/>
    </row>
    <row r="277" spans="5:8" x14ac:dyDescent="0.25">
      <c r="E277" s="17" t="str">
        <f>IF(F277&lt;&gt;"",_xlfn.XLOOKUP(TEXT(F277,"#"),'Att log'!$B$6:$B$501,'Att log'!$A$6:$A$501,"X"),"")</f>
        <v/>
      </c>
      <c r="F277" s="17"/>
      <c r="H277" s="18"/>
    </row>
    <row r="278" spans="5:8" x14ac:dyDescent="0.25">
      <c r="E278" s="17" t="str">
        <f>IF(F278&lt;&gt;"",_xlfn.XLOOKUP(TEXT(F278,"#"),'Att log'!$B$6:$B$501,'Att log'!$A$6:$A$501,"X"),"")</f>
        <v/>
      </c>
      <c r="F278" s="17"/>
      <c r="H278" s="18"/>
    </row>
    <row r="279" spans="5:8" x14ac:dyDescent="0.25">
      <c r="E279" s="17" t="str">
        <f>IF(F279&lt;&gt;"",_xlfn.XLOOKUP(TEXT(F279,"#"),'Att log'!$B$6:$B$501,'Att log'!$A$6:$A$501,"X"),"")</f>
        <v/>
      </c>
      <c r="F279" s="17"/>
      <c r="H279" s="18"/>
    </row>
    <row r="280" spans="5:8" x14ac:dyDescent="0.25">
      <c r="E280" s="17" t="str">
        <f>IF(F280&lt;&gt;"",_xlfn.XLOOKUP(TEXT(F280,"#"),'Att log'!$B$6:$B$501,'Att log'!$A$6:$A$501,"X"),"")</f>
        <v/>
      </c>
      <c r="F280" s="17"/>
      <c r="H280" s="18"/>
    </row>
    <row r="281" spans="5:8" x14ac:dyDescent="0.25">
      <c r="E281" s="17" t="str">
        <f>IF(F281&lt;&gt;"",_xlfn.XLOOKUP(TEXT(F281,"#"),'Att log'!$B$6:$B$501,'Att log'!$A$6:$A$501,"X"),"")</f>
        <v/>
      </c>
      <c r="F281" s="17"/>
      <c r="H281" s="18"/>
    </row>
    <row r="282" spans="5:8" x14ac:dyDescent="0.25">
      <c r="E282" s="17" t="str">
        <f>IF(F282&lt;&gt;"",_xlfn.XLOOKUP(TEXT(F282,"#"),'Att log'!$B$6:$B$501,'Att log'!$A$6:$A$501,"X"),"")</f>
        <v/>
      </c>
      <c r="F282" s="17"/>
      <c r="H282" s="18"/>
    </row>
    <row r="283" spans="5:8" x14ac:dyDescent="0.25">
      <c r="E283" s="17" t="str">
        <f>IF(F283&lt;&gt;"",_xlfn.XLOOKUP(TEXT(F283,"#"),'Att log'!$B$6:$B$501,'Att log'!$A$6:$A$501,"X"),"")</f>
        <v/>
      </c>
      <c r="F283" s="17"/>
      <c r="H283" s="18"/>
    </row>
    <row r="284" spans="5:8" x14ac:dyDescent="0.25">
      <c r="E284" s="17" t="str">
        <f>IF(F284&lt;&gt;"",_xlfn.XLOOKUP(TEXT(F284,"#"),'Att log'!$B$6:$B$501,'Att log'!$A$6:$A$501,"X"),"")</f>
        <v/>
      </c>
      <c r="F284" s="17"/>
      <c r="H284" s="18"/>
    </row>
    <row r="285" spans="5:8" x14ac:dyDescent="0.25">
      <c r="E285" s="17" t="str">
        <f>IF(F285&lt;&gt;"",_xlfn.XLOOKUP(TEXT(F285,"#"),'Att log'!$B$6:$B$501,'Att log'!$A$6:$A$501,"X"),"")</f>
        <v/>
      </c>
      <c r="F285" s="17"/>
      <c r="H285" s="18"/>
    </row>
    <row r="286" spans="5:8" x14ac:dyDescent="0.25">
      <c r="E286" s="17" t="str">
        <f>IF(F286&lt;&gt;"",_xlfn.XLOOKUP(TEXT(F286,"#"),'Att log'!$B$6:$B$501,'Att log'!$A$6:$A$501,"X"),"")</f>
        <v/>
      </c>
      <c r="F286" s="17"/>
      <c r="H286" s="18"/>
    </row>
    <row r="287" spans="5:8" x14ac:dyDescent="0.25">
      <c r="E287" s="17" t="str">
        <f>IF(F287&lt;&gt;"",_xlfn.XLOOKUP(TEXT(F287,"#"),'Att log'!$B$6:$B$501,'Att log'!$A$6:$A$501,"X"),"")</f>
        <v/>
      </c>
      <c r="F287" s="17"/>
      <c r="H287" s="18"/>
    </row>
    <row r="288" spans="5:8" x14ac:dyDescent="0.25">
      <c r="E288" s="17" t="str">
        <f>IF(F288&lt;&gt;"",_xlfn.XLOOKUP(TEXT(F288,"#"),'Att log'!$B$6:$B$501,'Att log'!$A$6:$A$501,"X"),"")</f>
        <v/>
      </c>
      <c r="F288" s="17"/>
      <c r="H288" s="18"/>
    </row>
    <row r="289" spans="5:8" x14ac:dyDescent="0.25">
      <c r="E289" s="17" t="str">
        <f>IF(F289&lt;&gt;"",_xlfn.XLOOKUP(TEXT(F289,"#"),'Att log'!$B$6:$B$501,'Att log'!$A$6:$A$501,"X"),"")</f>
        <v/>
      </c>
      <c r="F289" s="17"/>
      <c r="H289" s="18"/>
    </row>
    <row r="290" spans="5:8" x14ac:dyDescent="0.25">
      <c r="E290" s="17" t="str">
        <f>IF(F290&lt;&gt;"",_xlfn.XLOOKUP(TEXT(F290,"#"),'Att log'!$B$6:$B$501,'Att log'!$A$6:$A$501,"X"),"")</f>
        <v/>
      </c>
      <c r="F290" s="17"/>
      <c r="H290" s="18"/>
    </row>
    <row r="291" spans="5:8" x14ac:dyDescent="0.25">
      <c r="E291" s="17" t="str">
        <f>IF(F291&lt;&gt;"",_xlfn.XLOOKUP(TEXT(F291,"#"),'Att log'!$B$6:$B$501,'Att log'!$A$6:$A$501,"X"),"")</f>
        <v/>
      </c>
      <c r="F291" s="17"/>
      <c r="H291" s="18"/>
    </row>
    <row r="292" spans="5:8" x14ac:dyDescent="0.25">
      <c r="E292" s="17" t="str">
        <f>IF(F292&lt;&gt;"",_xlfn.XLOOKUP(TEXT(F292,"#"),'Att log'!$B$6:$B$501,'Att log'!$A$6:$A$501,"X"),"")</f>
        <v/>
      </c>
      <c r="F292" s="17"/>
      <c r="H292" s="18"/>
    </row>
    <row r="293" spans="5:8" x14ac:dyDescent="0.25">
      <c r="E293" s="17" t="str">
        <f>IF(F293&lt;&gt;"",_xlfn.XLOOKUP(TEXT(F293,"#"),'Att log'!$B$6:$B$501,'Att log'!$A$6:$A$501,"X"),"")</f>
        <v/>
      </c>
      <c r="F293" s="17"/>
      <c r="H293" s="18"/>
    </row>
    <row r="294" spans="5:8" x14ac:dyDescent="0.25">
      <c r="E294" s="17" t="str">
        <f>IF(F294&lt;&gt;"",_xlfn.XLOOKUP(TEXT(F294,"#"),'Att log'!$B$6:$B$501,'Att log'!$A$6:$A$501,"X"),"")</f>
        <v/>
      </c>
      <c r="F294" s="17"/>
      <c r="H294" s="18"/>
    </row>
    <row r="295" spans="5:8" x14ac:dyDescent="0.25">
      <c r="E295" s="17" t="str">
        <f>IF(F295&lt;&gt;"",_xlfn.XLOOKUP(TEXT(F295,"#"),'Att log'!$B$6:$B$501,'Att log'!$A$6:$A$501,"X"),"")</f>
        <v/>
      </c>
      <c r="F295" s="17"/>
      <c r="H295" s="18"/>
    </row>
    <row r="296" spans="5:8" x14ac:dyDescent="0.25">
      <c r="E296" s="17" t="str">
        <f>IF(F296&lt;&gt;"",_xlfn.XLOOKUP(TEXT(F296,"#"),'Att log'!$B$6:$B$501,'Att log'!$A$6:$A$501,"X"),"")</f>
        <v/>
      </c>
      <c r="F296" s="17"/>
      <c r="H296" s="18"/>
    </row>
    <row r="297" spans="5:8" x14ac:dyDescent="0.25">
      <c r="E297" s="17" t="str">
        <f>IF(F297&lt;&gt;"",_xlfn.XLOOKUP(TEXT(F297,"#"),'Att log'!$B$6:$B$501,'Att log'!$A$6:$A$501,"X"),"")</f>
        <v/>
      </c>
      <c r="F297" s="17"/>
      <c r="H297" s="18"/>
    </row>
    <row r="298" spans="5:8" x14ac:dyDescent="0.25">
      <c r="E298" s="17" t="str">
        <f>IF(F298&lt;&gt;"",_xlfn.XLOOKUP(TEXT(F298,"#"),'Att log'!$B$6:$B$501,'Att log'!$A$6:$A$501,"X"),"")</f>
        <v/>
      </c>
      <c r="F298" s="17"/>
      <c r="H298" s="18"/>
    </row>
    <row r="299" spans="5:8" x14ac:dyDescent="0.25">
      <c r="E299" s="17" t="str">
        <f>IF(F299&lt;&gt;"",_xlfn.XLOOKUP(TEXT(F299,"#"),'Att log'!$B$6:$B$501,'Att log'!$A$6:$A$501,"X"),"")</f>
        <v/>
      </c>
      <c r="F299" s="17"/>
      <c r="H299" s="18"/>
    </row>
    <row r="300" spans="5:8" x14ac:dyDescent="0.25">
      <c r="E300" s="17" t="str">
        <f>IF(F300&lt;&gt;"",_xlfn.XLOOKUP(TEXT(F300,"#"),'Att log'!$B$6:$B$501,'Att log'!$A$6:$A$501,"X"),"")</f>
        <v/>
      </c>
      <c r="F300" s="17"/>
      <c r="H300" s="18"/>
    </row>
    <row r="301" spans="5:8" x14ac:dyDescent="0.25">
      <c r="E301" s="17" t="str">
        <f>IF(F301&lt;&gt;"",_xlfn.XLOOKUP(TEXT(F301,"#"),'Att log'!$B$6:$B$501,'Att log'!$A$6:$A$501,"X"),"")</f>
        <v/>
      </c>
      <c r="F301" s="17"/>
      <c r="H301" s="18"/>
    </row>
    <row r="302" spans="5:8" x14ac:dyDescent="0.25">
      <c r="E302" s="17" t="str">
        <f>IF(F302&lt;&gt;"",_xlfn.XLOOKUP(TEXT(F302,"#"),'Att log'!$B$6:$B$501,'Att log'!$A$6:$A$501,"X"),"")</f>
        <v/>
      </c>
      <c r="F302" s="17"/>
      <c r="H302" s="18"/>
    </row>
    <row r="303" spans="5:8" x14ac:dyDescent="0.25">
      <c r="E303" s="17" t="str">
        <f>IF(F303&lt;&gt;"",_xlfn.XLOOKUP(TEXT(F303,"#"),'Att log'!$B$6:$B$501,'Att log'!$A$6:$A$501,"X"),"")</f>
        <v/>
      </c>
      <c r="F303" s="17"/>
      <c r="H303" s="18"/>
    </row>
    <row r="304" spans="5:8" x14ac:dyDescent="0.25">
      <c r="E304" s="17" t="str">
        <f>IF(F304&lt;&gt;"",_xlfn.XLOOKUP(TEXT(F304,"#"),'Att log'!$B$6:$B$501,'Att log'!$A$6:$A$501,"X"),"")</f>
        <v/>
      </c>
      <c r="F304" s="17"/>
      <c r="H304" s="18"/>
    </row>
    <row r="305" spans="5:8" x14ac:dyDescent="0.25">
      <c r="E305" s="17" t="str">
        <f>IF(F305&lt;&gt;"",_xlfn.XLOOKUP(TEXT(F305,"#"),'Att log'!$B$6:$B$501,'Att log'!$A$6:$A$501,"X"),"")</f>
        <v/>
      </c>
      <c r="F305" s="17"/>
      <c r="H305" s="18"/>
    </row>
    <row r="306" spans="5:8" x14ac:dyDescent="0.25">
      <c r="E306" s="17" t="str">
        <f>IF(F306&lt;&gt;"",_xlfn.XLOOKUP(TEXT(F306,"#"),'Att log'!$B$6:$B$501,'Att log'!$A$6:$A$501,"X"),"")</f>
        <v/>
      </c>
      <c r="F306" s="17"/>
      <c r="H306" s="18"/>
    </row>
    <row r="307" spans="5:8" x14ac:dyDescent="0.25">
      <c r="E307" s="17" t="str">
        <f>IF(F307&lt;&gt;"",_xlfn.XLOOKUP(TEXT(F307,"#"),'Att log'!$B$6:$B$501,'Att log'!$A$6:$A$501,"X"),"")</f>
        <v/>
      </c>
      <c r="F307" s="17"/>
      <c r="H307" s="18"/>
    </row>
    <row r="308" spans="5:8" x14ac:dyDescent="0.25">
      <c r="E308" s="17" t="str">
        <f>IF(F308&lt;&gt;"",_xlfn.XLOOKUP(TEXT(F308,"#"),'Att log'!$B$6:$B$501,'Att log'!$A$6:$A$501,"X"),"")</f>
        <v/>
      </c>
      <c r="F308" s="17"/>
      <c r="H308" s="18"/>
    </row>
    <row r="309" spans="5:8" x14ac:dyDescent="0.25">
      <c r="E309" s="17" t="str">
        <f>IF(F309&lt;&gt;"",_xlfn.XLOOKUP(TEXT(F309,"#"),'Att log'!$B$6:$B$501,'Att log'!$A$6:$A$501,"X"),"")</f>
        <v/>
      </c>
      <c r="F309" s="17"/>
      <c r="H309" s="18"/>
    </row>
    <row r="310" spans="5:8" x14ac:dyDescent="0.25">
      <c r="E310" s="17" t="str">
        <f>IF(F310&lt;&gt;"",_xlfn.XLOOKUP(TEXT(F310,"#"),'Att log'!$B$6:$B$501,'Att log'!$A$6:$A$501,"X"),"")</f>
        <v/>
      </c>
      <c r="F310" s="17"/>
      <c r="H310" s="18"/>
    </row>
    <row r="311" spans="5:8" x14ac:dyDescent="0.25">
      <c r="E311" s="17" t="str">
        <f>IF(F311&lt;&gt;"",_xlfn.XLOOKUP(TEXT(F311,"#"),'Att log'!$B$6:$B$501,'Att log'!$A$6:$A$501,"X"),"")</f>
        <v/>
      </c>
      <c r="F311" s="17"/>
      <c r="H311" s="18"/>
    </row>
    <row r="312" spans="5:8" x14ac:dyDescent="0.25">
      <c r="E312" s="17" t="str">
        <f>IF(F312&lt;&gt;"",_xlfn.XLOOKUP(TEXT(F312,"#"),'Att log'!$B$6:$B$501,'Att log'!$A$6:$A$501,"X"),"")</f>
        <v/>
      </c>
      <c r="F312" s="17"/>
      <c r="H312" s="18"/>
    </row>
    <row r="313" spans="5:8" x14ac:dyDescent="0.25">
      <c r="E313" s="17" t="str">
        <f>IF(F313&lt;&gt;"",_xlfn.XLOOKUP(TEXT(F313,"#"),'Att log'!$B$6:$B$501,'Att log'!$A$6:$A$501,"X"),"")</f>
        <v/>
      </c>
      <c r="F313" s="17"/>
      <c r="H313" s="18"/>
    </row>
    <row r="314" spans="5:8" x14ac:dyDescent="0.25">
      <c r="E314" s="17" t="str">
        <f>IF(F314&lt;&gt;"",_xlfn.XLOOKUP(TEXT(F314,"#"),'Att log'!$B$6:$B$501,'Att log'!$A$6:$A$501,"X"),"")</f>
        <v/>
      </c>
      <c r="F314" s="17"/>
      <c r="H314" s="18"/>
    </row>
    <row r="315" spans="5:8" x14ac:dyDescent="0.25">
      <c r="E315" s="17" t="str">
        <f>IF(F315&lt;&gt;"",_xlfn.XLOOKUP(TEXT(F315,"#"),'Att log'!$B$6:$B$501,'Att log'!$A$6:$A$501,"X"),"")</f>
        <v/>
      </c>
      <c r="F315" s="17"/>
      <c r="H315" s="18"/>
    </row>
    <row r="316" spans="5:8" x14ac:dyDescent="0.25">
      <c r="E316" s="17" t="str">
        <f>IF(F316&lt;&gt;"",_xlfn.XLOOKUP(TEXT(F316,"#"),'Att log'!$B$6:$B$501,'Att log'!$A$6:$A$501,"X"),"")</f>
        <v/>
      </c>
      <c r="F316" s="17"/>
      <c r="H316" s="18"/>
    </row>
    <row r="317" spans="5:8" x14ac:dyDescent="0.25">
      <c r="E317" s="17" t="str">
        <f>IF(F317&lt;&gt;"",_xlfn.XLOOKUP(TEXT(F317,"#"),'Att log'!$B$6:$B$501,'Att log'!$A$6:$A$501,"X"),"")</f>
        <v/>
      </c>
      <c r="F317" s="17"/>
      <c r="H317" s="18"/>
    </row>
    <row r="318" spans="5:8" x14ac:dyDescent="0.25">
      <c r="E318" s="17" t="str">
        <f>IF(F318&lt;&gt;"",_xlfn.XLOOKUP(TEXT(F318,"#"),'Att log'!$B$6:$B$501,'Att log'!$A$6:$A$501,"X"),"")</f>
        <v/>
      </c>
      <c r="F318" s="17"/>
      <c r="H318" s="18"/>
    </row>
    <row r="319" spans="5:8" x14ac:dyDescent="0.25">
      <c r="E319" s="17" t="str">
        <f>IF(F319&lt;&gt;"",_xlfn.XLOOKUP(TEXT(F319,"#"),'Att log'!$B$6:$B$501,'Att log'!$A$6:$A$501,"X"),"")</f>
        <v/>
      </c>
      <c r="F319" s="17"/>
      <c r="H319" s="18"/>
    </row>
    <row r="320" spans="5:8" x14ac:dyDescent="0.25">
      <c r="E320" s="17" t="str">
        <f>IF(F320&lt;&gt;"",_xlfn.XLOOKUP(TEXT(F320,"#"),'Att log'!$B$6:$B$501,'Att log'!$A$6:$A$501,"X"),"")</f>
        <v/>
      </c>
      <c r="F320" s="17"/>
      <c r="H320" s="18"/>
    </row>
    <row r="321" spans="5:8" x14ac:dyDescent="0.25">
      <c r="E321" s="17" t="str">
        <f>IF(F321&lt;&gt;"",_xlfn.XLOOKUP(TEXT(F321,"#"),'Att log'!$B$6:$B$501,'Att log'!$A$6:$A$501,"X"),"")</f>
        <v/>
      </c>
      <c r="F321" s="17"/>
      <c r="H321" s="18"/>
    </row>
    <row r="322" spans="5:8" x14ac:dyDescent="0.25">
      <c r="E322" s="17" t="str">
        <f>IF(F322&lt;&gt;"",_xlfn.XLOOKUP(TEXT(F322,"#"),'Att log'!$B$6:$B$501,'Att log'!$A$6:$A$501,"X"),"")</f>
        <v/>
      </c>
      <c r="F322" s="17"/>
      <c r="H322" s="18"/>
    </row>
    <row r="323" spans="5:8" x14ac:dyDescent="0.25">
      <c r="E323" s="17" t="str">
        <f>IF(F323&lt;&gt;"",_xlfn.XLOOKUP(TEXT(F323,"#"),'Att log'!$B$6:$B$501,'Att log'!$A$6:$A$501,"X"),"")</f>
        <v/>
      </c>
      <c r="F323" s="17"/>
      <c r="H323" s="18"/>
    </row>
    <row r="324" spans="5:8" x14ac:dyDescent="0.25">
      <c r="E324" s="17" t="str">
        <f>IF(F324&lt;&gt;"",_xlfn.XLOOKUP(TEXT(F324,"#"),'Att log'!$B$6:$B$501,'Att log'!$A$6:$A$501,"X"),"")</f>
        <v/>
      </c>
      <c r="F324" s="17"/>
      <c r="H324" s="18"/>
    </row>
    <row r="325" spans="5:8" x14ac:dyDescent="0.25">
      <c r="E325" s="17" t="str">
        <f>IF(F325&lt;&gt;"",_xlfn.XLOOKUP(TEXT(F325,"#"),'Att log'!$B$6:$B$501,'Att log'!$A$6:$A$501,"X"),"")</f>
        <v/>
      </c>
      <c r="F325" s="17"/>
      <c r="H325" s="18"/>
    </row>
    <row r="326" spans="5:8" x14ac:dyDescent="0.25">
      <c r="E326" s="17" t="str">
        <f>IF(F326&lt;&gt;"",_xlfn.XLOOKUP(TEXT(F326,"#"),'Att log'!$B$6:$B$501,'Att log'!$A$6:$A$501,"X"),"")</f>
        <v/>
      </c>
      <c r="F326" s="17"/>
      <c r="H326" s="18"/>
    </row>
    <row r="327" spans="5:8" x14ac:dyDescent="0.25">
      <c r="E327" s="17" t="str">
        <f>IF(F327&lt;&gt;"",_xlfn.XLOOKUP(TEXT(F327,"#"),'Att log'!$B$6:$B$501,'Att log'!$A$6:$A$501,"X"),"")</f>
        <v/>
      </c>
      <c r="F327" s="17"/>
      <c r="H327" s="18"/>
    </row>
    <row r="328" spans="5:8" x14ac:dyDescent="0.25">
      <c r="E328" s="17" t="str">
        <f>IF(F328&lt;&gt;"",_xlfn.XLOOKUP(TEXT(F328,"#"),'Att log'!$B$6:$B$501,'Att log'!$A$6:$A$501,"X"),"")</f>
        <v/>
      </c>
      <c r="F328" s="17"/>
      <c r="H328" s="18"/>
    </row>
    <row r="329" spans="5:8" x14ac:dyDescent="0.25">
      <c r="E329" s="17" t="str">
        <f>IF(F329&lt;&gt;"",_xlfn.XLOOKUP(TEXT(F329,"#"),'Att log'!$B$6:$B$501,'Att log'!$A$6:$A$501,"X"),"")</f>
        <v/>
      </c>
      <c r="F329" s="17"/>
      <c r="H329" s="18"/>
    </row>
    <row r="330" spans="5:8" x14ac:dyDescent="0.25">
      <c r="E330" s="17" t="str">
        <f>IF(F330&lt;&gt;"",_xlfn.XLOOKUP(TEXT(F330,"#"),'Att log'!$B$6:$B$501,'Att log'!$A$6:$A$501,"X"),"")</f>
        <v/>
      </c>
      <c r="F330" s="17"/>
      <c r="H330" s="18"/>
    </row>
    <row r="331" spans="5:8" x14ac:dyDescent="0.25">
      <c r="E331" s="17" t="str">
        <f>IF(F331&lt;&gt;"",_xlfn.XLOOKUP(TEXT(F331,"#"),'Att log'!$B$6:$B$501,'Att log'!$A$6:$A$501,"X"),"")</f>
        <v/>
      </c>
      <c r="F331" s="17"/>
      <c r="H331" s="18"/>
    </row>
    <row r="332" spans="5:8" x14ac:dyDescent="0.25">
      <c r="E332" s="17" t="str">
        <f>IF(F332&lt;&gt;"",_xlfn.XLOOKUP(TEXT(F332,"#"),'Att log'!$B$6:$B$501,'Att log'!$A$6:$A$501,"X"),"")</f>
        <v/>
      </c>
      <c r="F332" s="17"/>
      <c r="H332" s="18"/>
    </row>
    <row r="333" spans="5:8" x14ac:dyDescent="0.25">
      <c r="E333" s="17" t="str">
        <f>IF(F333&lt;&gt;"",_xlfn.XLOOKUP(TEXT(F333,"#"),'Att log'!$B$6:$B$501,'Att log'!$A$6:$A$501,"X"),"")</f>
        <v/>
      </c>
      <c r="F333" s="17"/>
      <c r="H333" s="18"/>
    </row>
    <row r="334" spans="5:8" x14ac:dyDescent="0.25">
      <c r="E334" s="17" t="str">
        <f>IF(F334&lt;&gt;"",_xlfn.XLOOKUP(TEXT(F334,"#"),'Att log'!$B$6:$B$501,'Att log'!$A$6:$A$501,"X"),"")</f>
        <v/>
      </c>
      <c r="F334" s="17"/>
      <c r="H334" s="18"/>
    </row>
    <row r="335" spans="5:8" x14ac:dyDescent="0.25">
      <c r="E335" s="17" t="str">
        <f>IF(F335&lt;&gt;"",_xlfn.XLOOKUP(TEXT(F335,"#"),'Att log'!$B$6:$B$501,'Att log'!$A$6:$A$501,"X"),"")</f>
        <v/>
      </c>
      <c r="F335" s="17"/>
      <c r="H335" s="18"/>
    </row>
    <row r="336" spans="5:8" x14ac:dyDescent="0.25">
      <c r="E336" s="17" t="str">
        <f>IF(F336&lt;&gt;"",_xlfn.XLOOKUP(TEXT(F336,"#"),'Att log'!$B$6:$B$501,'Att log'!$A$6:$A$501,"X"),"")</f>
        <v/>
      </c>
      <c r="F336" s="17"/>
      <c r="H336" s="18"/>
    </row>
    <row r="337" spans="5:8" x14ac:dyDescent="0.25">
      <c r="E337" s="17" t="str">
        <f>IF(F337&lt;&gt;"",_xlfn.XLOOKUP(TEXT(F337,"#"),'Att log'!$B$6:$B$501,'Att log'!$A$6:$A$501,"X"),"")</f>
        <v/>
      </c>
      <c r="F337" s="17"/>
      <c r="H337" s="18"/>
    </row>
    <row r="338" spans="5:8" x14ac:dyDescent="0.25">
      <c r="E338" s="17" t="str">
        <f>IF(F338&lt;&gt;"",_xlfn.XLOOKUP(TEXT(F338,"#"),'Att log'!$B$6:$B$501,'Att log'!$A$6:$A$501,"X"),"")</f>
        <v/>
      </c>
      <c r="F338" s="17"/>
      <c r="H338" s="18"/>
    </row>
    <row r="339" spans="5:8" x14ac:dyDescent="0.25">
      <c r="E339" s="17" t="str">
        <f>IF(F339&lt;&gt;"",_xlfn.XLOOKUP(TEXT(F339,"#"),'Att log'!$B$6:$B$501,'Att log'!$A$6:$A$501,"X"),"")</f>
        <v/>
      </c>
      <c r="F339" s="17"/>
      <c r="H339" s="18"/>
    </row>
    <row r="340" spans="5:8" x14ac:dyDescent="0.25">
      <c r="E340" s="17" t="str">
        <f>IF(F340&lt;&gt;"",_xlfn.XLOOKUP(TEXT(F340,"#"),'Att log'!$B$6:$B$501,'Att log'!$A$6:$A$501,"X"),"")</f>
        <v/>
      </c>
      <c r="F340" s="17"/>
      <c r="H340" s="18"/>
    </row>
    <row r="341" spans="5:8" x14ac:dyDescent="0.25">
      <c r="E341" s="17" t="str">
        <f>IF(F341&lt;&gt;"",_xlfn.XLOOKUP(TEXT(F341,"#"),'Att log'!$B$6:$B$501,'Att log'!$A$6:$A$501,"X"),"")</f>
        <v/>
      </c>
      <c r="F341" s="17"/>
      <c r="H341" s="18"/>
    </row>
    <row r="342" spans="5:8" x14ac:dyDescent="0.25">
      <c r="E342" s="17" t="str">
        <f>IF(F342&lt;&gt;"",_xlfn.XLOOKUP(TEXT(F342,"#"),'Att log'!$B$6:$B$501,'Att log'!$A$6:$A$501,"X"),"")</f>
        <v/>
      </c>
      <c r="F342" s="17"/>
      <c r="H342" s="18"/>
    </row>
    <row r="343" spans="5:8" x14ac:dyDescent="0.25">
      <c r="E343" s="17" t="str">
        <f>IF(F343&lt;&gt;"",_xlfn.XLOOKUP(TEXT(F343,"#"),'Att log'!$B$6:$B$501,'Att log'!$A$6:$A$501,"X"),"")</f>
        <v/>
      </c>
      <c r="F343" s="17"/>
      <c r="H343" s="18"/>
    </row>
    <row r="344" spans="5:8" x14ac:dyDescent="0.25">
      <c r="E344" s="17" t="str">
        <f>IF(F344&lt;&gt;"",_xlfn.XLOOKUP(TEXT(F344,"#"),'Att log'!$B$6:$B$501,'Att log'!$A$6:$A$501,"X"),"")</f>
        <v/>
      </c>
      <c r="F344" s="17"/>
      <c r="H344" s="18"/>
    </row>
    <row r="345" spans="5:8" x14ac:dyDescent="0.25">
      <c r="E345" s="17" t="str">
        <f>IF(F345&lt;&gt;"",_xlfn.XLOOKUP(TEXT(F345,"#"),'Att log'!$B$6:$B$501,'Att log'!$A$6:$A$501,"X"),"")</f>
        <v/>
      </c>
      <c r="F345" s="17"/>
      <c r="H345" s="18"/>
    </row>
    <row r="346" spans="5:8" x14ac:dyDescent="0.25">
      <c r="E346" s="17" t="str">
        <f>IF(F346&lt;&gt;"",_xlfn.XLOOKUP(TEXT(F346,"#"),'Att log'!$B$6:$B$501,'Att log'!$A$6:$A$501,"X"),"")</f>
        <v/>
      </c>
      <c r="F346" s="17"/>
      <c r="H346" s="18"/>
    </row>
    <row r="347" spans="5:8" x14ac:dyDescent="0.25">
      <c r="E347" s="17" t="str">
        <f>IF(F347&lt;&gt;"",_xlfn.XLOOKUP(TEXT(F347,"#"),'Att log'!$B$6:$B$501,'Att log'!$A$6:$A$501,"X"),"")</f>
        <v/>
      </c>
      <c r="F347" s="17"/>
      <c r="H347" s="18"/>
    </row>
    <row r="348" spans="5:8" x14ac:dyDescent="0.25">
      <c r="E348" s="17" t="str">
        <f>IF(F348&lt;&gt;"",_xlfn.XLOOKUP(TEXT(F348,"#"),'Att log'!$B$6:$B$501,'Att log'!$A$6:$A$501,"X"),"")</f>
        <v/>
      </c>
      <c r="F348" s="17"/>
      <c r="H348" s="18"/>
    </row>
    <row r="349" spans="5:8" x14ac:dyDescent="0.25">
      <c r="E349" s="17" t="str">
        <f>IF(F349&lt;&gt;"",_xlfn.XLOOKUP(TEXT(F349,"#"),'Att log'!$B$6:$B$501,'Att log'!$A$6:$A$501,"X"),"")</f>
        <v/>
      </c>
      <c r="F349" s="17"/>
      <c r="H349" s="18"/>
    </row>
    <row r="350" spans="5:8" x14ac:dyDescent="0.25">
      <c r="E350" s="17" t="str">
        <f>IF(F350&lt;&gt;"",_xlfn.XLOOKUP(TEXT(F350,"#"),'Att log'!$B$6:$B$501,'Att log'!$A$6:$A$501,"X"),"")</f>
        <v/>
      </c>
      <c r="F350" s="17"/>
      <c r="H350" s="18"/>
    </row>
    <row r="351" spans="5:8" x14ac:dyDescent="0.25">
      <c r="E351" s="17" t="str">
        <f>IF(F351&lt;&gt;"",_xlfn.XLOOKUP(TEXT(F351,"#"),'Att log'!$B$6:$B$501,'Att log'!$A$6:$A$501,"X"),"")</f>
        <v/>
      </c>
      <c r="F351" s="17"/>
      <c r="H351" s="18"/>
    </row>
    <row r="352" spans="5:8" x14ac:dyDescent="0.25">
      <c r="E352" s="17" t="str">
        <f>IF(F352&lt;&gt;"",_xlfn.XLOOKUP(TEXT(F352,"#"),'Att log'!$B$6:$B$501,'Att log'!$A$6:$A$501,"X"),"")</f>
        <v/>
      </c>
      <c r="F352" s="17"/>
      <c r="H352" s="18"/>
    </row>
    <row r="353" spans="5:8" x14ac:dyDescent="0.25">
      <c r="E353" s="17" t="str">
        <f>IF(F353&lt;&gt;"",_xlfn.XLOOKUP(TEXT(F353,"#"),'Att log'!$B$6:$B$501,'Att log'!$A$6:$A$501,"X"),"")</f>
        <v/>
      </c>
      <c r="F353" s="17"/>
      <c r="H353" s="18"/>
    </row>
    <row r="354" spans="5:8" x14ac:dyDescent="0.25">
      <c r="E354" s="17" t="str">
        <f>IF(F354&lt;&gt;"",_xlfn.XLOOKUP(TEXT(F354,"#"),'Att log'!$B$6:$B$501,'Att log'!$A$6:$A$501,"X"),"")</f>
        <v/>
      </c>
      <c r="F354" s="17"/>
      <c r="H354" s="18"/>
    </row>
    <row r="355" spans="5:8" x14ac:dyDescent="0.25">
      <c r="E355" s="17" t="str">
        <f>IF(F355&lt;&gt;"",_xlfn.XLOOKUP(TEXT(F355,"#"),'Att log'!$B$6:$B$501,'Att log'!$A$6:$A$501,"X"),"")</f>
        <v/>
      </c>
      <c r="F355" s="17"/>
      <c r="H355" s="18"/>
    </row>
    <row r="356" spans="5:8" x14ac:dyDescent="0.25">
      <c r="E356" s="17" t="str">
        <f>IF(F356&lt;&gt;"",_xlfn.XLOOKUP(TEXT(F356,"#"),'Att log'!$B$6:$B$501,'Att log'!$A$6:$A$501,"X"),"")</f>
        <v/>
      </c>
      <c r="F356" s="17"/>
      <c r="H356" s="18"/>
    </row>
    <row r="357" spans="5:8" x14ac:dyDescent="0.25">
      <c r="E357" s="17" t="str">
        <f>IF(F357&lt;&gt;"",_xlfn.XLOOKUP(TEXT(F357,"#"),'Att log'!$B$6:$B$501,'Att log'!$A$6:$A$501,"X"),"")</f>
        <v/>
      </c>
      <c r="F357" s="17"/>
      <c r="H357" s="18"/>
    </row>
    <row r="358" spans="5:8" x14ac:dyDescent="0.25">
      <c r="E358" s="17" t="str">
        <f>IF(F358&lt;&gt;"",_xlfn.XLOOKUP(TEXT(F358,"#"),'Att log'!$B$6:$B$501,'Att log'!$A$6:$A$501,"X"),"")</f>
        <v/>
      </c>
      <c r="F358" s="17"/>
      <c r="H358" s="18"/>
    </row>
    <row r="359" spans="5:8" x14ac:dyDescent="0.25">
      <c r="E359" s="17" t="str">
        <f>IF(F359&lt;&gt;"",_xlfn.XLOOKUP(TEXT(F359,"#"),'Att log'!$B$6:$B$501,'Att log'!$A$6:$A$501,"X"),"")</f>
        <v/>
      </c>
      <c r="F359" s="17"/>
      <c r="H359" s="18"/>
    </row>
    <row r="360" spans="5:8" x14ac:dyDescent="0.25">
      <c r="E360" s="17" t="str">
        <f>IF(F360&lt;&gt;"",_xlfn.XLOOKUP(TEXT(F360,"#"),'Att log'!$B$6:$B$501,'Att log'!$A$6:$A$501,"X"),"")</f>
        <v/>
      </c>
      <c r="F360" s="17"/>
      <c r="H360" s="18"/>
    </row>
    <row r="361" spans="5:8" x14ac:dyDescent="0.25">
      <c r="E361" s="17" t="str">
        <f>IF(F361&lt;&gt;"",_xlfn.XLOOKUP(TEXT(F361,"#"),'Att log'!$B$6:$B$501,'Att log'!$A$6:$A$501,"X"),"")</f>
        <v/>
      </c>
      <c r="F361" s="17"/>
      <c r="H361" s="18"/>
    </row>
    <row r="362" spans="5:8" x14ac:dyDescent="0.25">
      <c r="E362" s="17" t="str">
        <f>IF(F362&lt;&gt;"",_xlfn.XLOOKUP(TEXT(F362,"#"),'Att log'!$B$6:$B$501,'Att log'!$A$6:$A$501,"X"),"")</f>
        <v/>
      </c>
      <c r="F362" s="17"/>
      <c r="H362" s="18"/>
    </row>
    <row r="363" spans="5:8" x14ac:dyDescent="0.25">
      <c r="E363" s="17" t="str">
        <f>IF(F363&lt;&gt;"",_xlfn.XLOOKUP(TEXT(F363,"#"),'Att log'!$B$6:$B$501,'Att log'!$A$6:$A$501,"X"),"")</f>
        <v/>
      </c>
      <c r="F363" s="17"/>
      <c r="H363" s="18"/>
    </row>
    <row r="364" spans="5:8" x14ac:dyDescent="0.25">
      <c r="E364" s="17" t="str">
        <f>IF(F364&lt;&gt;"",_xlfn.XLOOKUP(TEXT(F364,"#"),'Att log'!$B$6:$B$501,'Att log'!$A$6:$A$501,"X"),"")</f>
        <v/>
      </c>
      <c r="F364" s="17"/>
      <c r="H364" s="18"/>
    </row>
    <row r="365" spans="5:8" x14ac:dyDescent="0.25">
      <c r="E365" s="17" t="str">
        <f>IF(F365&lt;&gt;"",_xlfn.XLOOKUP(TEXT(F365,"#"),'Att log'!$B$6:$B$501,'Att log'!$A$6:$A$501,"X"),"")</f>
        <v/>
      </c>
      <c r="F365" s="17"/>
      <c r="H365" s="18"/>
    </row>
    <row r="366" spans="5:8" x14ac:dyDescent="0.25">
      <c r="E366" s="17" t="str">
        <f>IF(F366&lt;&gt;"",_xlfn.XLOOKUP(TEXT(F366,"#"),'Att log'!$B$6:$B$501,'Att log'!$A$6:$A$501,"X"),"")</f>
        <v/>
      </c>
      <c r="F366" s="17"/>
      <c r="H366" s="18"/>
    </row>
    <row r="367" spans="5:8" x14ac:dyDescent="0.25">
      <c r="E367" s="17" t="str">
        <f>IF(F367&lt;&gt;"",_xlfn.XLOOKUP(TEXT(F367,"#"),'Att log'!$B$6:$B$501,'Att log'!$A$6:$A$501,"X"),"")</f>
        <v/>
      </c>
      <c r="F367" s="17"/>
      <c r="H367" s="18"/>
    </row>
    <row r="368" spans="5:8" x14ac:dyDescent="0.25">
      <c r="E368" s="17" t="str">
        <f>IF(F368&lt;&gt;"",_xlfn.XLOOKUP(TEXT(F368,"#"),'Att log'!$B$6:$B$501,'Att log'!$A$6:$A$501,"X"),"")</f>
        <v/>
      </c>
      <c r="F368" s="17"/>
      <c r="H368" s="18"/>
    </row>
    <row r="369" spans="5:8" x14ac:dyDescent="0.25">
      <c r="E369" s="17" t="str">
        <f>IF(F369&lt;&gt;"",_xlfn.XLOOKUP(TEXT(F369,"#"),'Att log'!$B$6:$B$501,'Att log'!$A$6:$A$501,"X"),"")</f>
        <v/>
      </c>
      <c r="F369" s="17"/>
      <c r="H369" s="18"/>
    </row>
    <row r="370" spans="5:8" x14ac:dyDescent="0.25">
      <c r="E370" s="17" t="str">
        <f>IF(F370&lt;&gt;"",_xlfn.XLOOKUP(TEXT(F370,"#"),'Att log'!$B$6:$B$501,'Att log'!$A$6:$A$501,"X"),"")</f>
        <v/>
      </c>
      <c r="F370" s="17"/>
      <c r="H370" s="18"/>
    </row>
    <row r="371" spans="5:8" x14ac:dyDescent="0.25">
      <c r="E371" s="17" t="str">
        <f>IF(F371&lt;&gt;"",_xlfn.XLOOKUP(TEXT(F371,"#"),'Att log'!$B$6:$B$501,'Att log'!$A$6:$A$501,"X"),"")</f>
        <v/>
      </c>
      <c r="F371" s="17"/>
      <c r="H371" s="18"/>
    </row>
    <row r="372" spans="5:8" x14ac:dyDescent="0.25">
      <c r="E372" s="17" t="str">
        <f>IF(F372&lt;&gt;"",_xlfn.XLOOKUP(TEXT(F372,"#"),'Att log'!$B$6:$B$501,'Att log'!$A$6:$A$501,"X"),"")</f>
        <v/>
      </c>
      <c r="F372" s="17"/>
      <c r="H372" s="18"/>
    </row>
    <row r="373" spans="5:8" x14ac:dyDescent="0.25">
      <c r="E373" s="17" t="str">
        <f>IF(F373&lt;&gt;"",_xlfn.XLOOKUP(TEXT(F373,"#"),'Att log'!$B$6:$B$501,'Att log'!$A$6:$A$501,"X"),"")</f>
        <v/>
      </c>
      <c r="F373" s="17"/>
      <c r="H373" s="18"/>
    </row>
    <row r="374" spans="5:8" x14ac:dyDescent="0.25">
      <c r="E374" s="17" t="str">
        <f>IF(F374&lt;&gt;"",_xlfn.XLOOKUP(TEXT(F374,"#"),'Att log'!$B$6:$B$501,'Att log'!$A$6:$A$501,"X"),"")</f>
        <v/>
      </c>
      <c r="F374" s="17"/>
      <c r="H374" s="18"/>
    </row>
    <row r="375" spans="5:8" x14ac:dyDescent="0.25">
      <c r="E375" s="17" t="str">
        <f>IF(F375&lt;&gt;"",_xlfn.XLOOKUP(TEXT(F375,"#"),'Att log'!$B$6:$B$501,'Att log'!$A$6:$A$501,"X"),"")</f>
        <v/>
      </c>
      <c r="F375" s="17"/>
      <c r="H375" s="18"/>
    </row>
    <row r="376" spans="5:8" x14ac:dyDescent="0.25">
      <c r="E376" s="17" t="str">
        <f>IF(F376&lt;&gt;"",_xlfn.XLOOKUP(TEXT(F376,"#"),'Att log'!$B$6:$B$501,'Att log'!$A$6:$A$501,"X"),"")</f>
        <v/>
      </c>
      <c r="F376" s="17"/>
      <c r="H376" s="18"/>
    </row>
    <row r="377" spans="5:8" x14ac:dyDescent="0.25">
      <c r="E377" s="17" t="str">
        <f>IF(F377&lt;&gt;"",_xlfn.XLOOKUP(TEXT(F377,"#"),'Att log'!$B$6:$B$501,'Att log'!$A$6:$A$501,"X"),"")</f>
        <v/>
      </c>
      <c r="F377" s="17"/>
      <c r="H377" s="18"/>
    </row>
    <row r="378" spans="5:8" x14ac:dyDescent="0.25">
      <c r="E378" s="17" t="str">
        <f>IF(F378&lt;&gt;"",_xlfn.XLOOKUP(TEXT(F378,"#"),'Att log'!$B$6:$B$501,'Att log'!$A$6:$A$501,"X"),"")</f>
        <v/>
      </c>
      <c r="F378" s="17"/>
      <c r="H378" s="18"/>
    </row>
    <row r="379" spans="5:8" x14ac:dyDescent="0.25">
      <c r="E379" s="17" t="str">
        <f>IF(F379&lt;&gt;"",_xlfn.XLOOKUP(TEXT(F379,"#"),'Att log'!$B$6:$B$501,'Att log'!$A$6:$A$501,"X"),"")</f>
        <v/>
      </c>
      <c r="F379" s="17"/>
      <c r="H379" s="18"/>
    </row>
    <row r="380" spans="5:8" x14ac:dyDescent="0.25">
      <c r="E380" s="17" t="str">
        <f>IF(F380&lt;&gt;"",_xlfn.XLOOKUP(TEXT(F380,"#"),'Att log'!$B$6:$B$501,'Att log'!$A$6:$A$501,"X"),"")</f>
        <v/>
      </c>
      <c r="F380" s="17"/>
      <c r="H380" s="18"/>
    </row>
    <row r="381" spans="5:8" x14ac:dyDescent="0.25">
      <c r="E381" s="17" t="str">
        <f>IF(F381&lt;&gt;"",_xlfn.XLOOKUP(TEXT(F381,"#"),'Att log'!$B$6:$B$501,'Att log'!$A$6:$A$501,"X"),"")</f>
        <v/>
      </c>
      <c r="F381" s="17"/>
      <c r="H381" s="18"/>
    </row>
    <row r="382" spans="5:8" x14ac:dyDescent="0.25">
      <c r="E382" s="17" t="str">
        <f>IF(F382&lt;&gt;"",_xlfn.XLOOKUP(TEXT(F382,"#"),'Att log'!$B$6:$B$501,'Att log'!$A$6:$A$501,"X"),"")</f>
        <v/>
      </c>
      <c r="F382" s="17"/>
      <c r="H382" s="18"/>
    </row>
    <row r="383" spans="5:8" x14ac:dyDescent="0.25">
      <c r="E383" s="17" t="str">
        <f>IF(F383&lt;&gt;"",_xlfn.XLOOKUP(TEXT(F383,"#"),'Att log'!$B$6:$B$501,'Att log'!$A$6:$A$501,"X"),"")</f>
        <v/>
      </c>
      <c r="F383" s="17"/>
      <c r="H383" s="18"/>
    </row>
    <row r="384" spans="5:8" x14ac:dyDescent="0.25">
      <c r="E384" s="17" t="str">
        <f>IF(F384&lt;&gt;"",_xlfn.XLOOKUP(TEXT(F384,"#"),'Att log'!$B$6:$B$501,'Att log'!$A$6:$A$501,"X"),"")</f>
        <v/>
      </c>
      <c r="F384" s="17"/>
      <c r="H384" s="18"/>
    </row>
    <row r="385" spans="5:8" x14ac:dyDescent="0.25">
      <c r="E385" s="17" t="str">
        <f>IF(F385&lt;&gt;"",_xlfn.XLOOKUP(TEXT(F385,"#"),'Att log'!$B$6:$B$501,'Att log'!$A$6:$A$501,"X"),"")</f>
        <v/>
      </c>
      <c r="F385" s="17"/>
      <c r="H385" s="18"/>
    </row>
    <row r="386" spans="5:8" x14ac:dyDescent="0.25">
      <c r="E386" s="17" t="str">
        <f>IF(F386&lt;&gt;"",_xlfn.XLOOKUP(TEXT(F386,"#"),'Att log'!$B$6:$B$501,'Att log'!$A$6:$A$501,"X"),"")</f>
        <v/>
      </c>
      <c r="F386" s="17"/>
      <c r="H386" s="18"/>
    </row>
    <row r="387" spans="5:8" x14ac:dyDescent="0.25">
      <c r="E387" s="17" t="str">
        <f>IF(F387&lt;&gt;"",_xlfn.XLOOKUP(TEXT(F387,"#"),'Att log'!$B$6:$B$501,'Att log'!$A$6:$A$501,"X"),"")</f>
        <v/>
      </c>
      <c r="F387" s="17"/>
      <c r="H387" s="18"/>
    </row>
    <row r="388" spans="5:8" x14ac:dyDescent="0.25">
      <c r="E388" s="17" t="str">
        <f>IF(F388&lt;&gt;"",_xlfn.XLOOKUP(TEXT(F388,"#"),'Att log'!$B$6:$B$501,'Att log'!$A$6:$A$501,"X"),"")</f>
        <v/>
      </c>
      <c r="F388" s="17"/>
      <c r="H388" s="18"/>
    </row>
    <row r="389" spans="5:8" x14ac:dyDescent="0.25">
      <c r="E389" s="17" t="str">
        <f>IF(F389&lt;&gt;"",_xlfn.XLOOKUP(TEXT(F389,"#"),'Att log'!$B$6:$B$501,'Att log'!$A$6:$A$501,"X"),"")</f>
        <v/>
      </c>
      <c r="F389" s="17"/>
      <c r="H389" s="18"/>
    </row>
    <row r="390" spans="5:8" x14ac:dyDescent="0.25">
      <c r="E390" s="17" t="str">
        <f>IF(F390&lt;&gt;"",_xlfn.XLOOKUP(TEXT(F390,"#"),'Att log'!$B$6:$B$501,'Att log'!$A$6:$A$501,"X"),"")</f>
        <v/>
      </c>
      <c r="F390" s="17"/>
      <c r="H390" s="18"/>
    </row>
    <row r="391" spans="5:8" x14ac:dyDescent="0.25">
      <c r="E391" s="17" t="str">
        <f>IF(F391&lt;&gt;"",_xlfn.XLOOKUP(TEXT(F391,"#"),'Att log'!$B$6:$B$501,'Att log'!$A$6:$A$501,"X"),"")</f>
        <v/>
      </c>
      <c r="F391" s="17"/>
      <c r="H391" s="18"/>
    </row>
    <row r="392" spans="5:8" x14ac:dyDescent="0.25">
      <c r="E392" s="17" t="str">
        <f>IF(F392&lt;&gt;"",_xlfn.XLOOKUP(TEXT(F392,"#"),'Att log'!$B$6:$B$501,'Att log'!$A$6:$A$501,"X"),"")</f>
        <v/>
      </c>
      <c r="F392" s="17"/>
      <c r="H392" s="18"/>
    </row>
    <row r="393" spans="5:8" x14ac:dyDescent="0.25">
      <c r="E393" s="17" t="str">
        <f>IF(F393&lt;&gt;"",_xlfn.XLOOKUP(TEXT(F393,"#"),'Att log'!$B$6:$B$501,'Att log'!$A$6:$A$501,"X"),"")</f>
        <v/>
      </c>
      <c r="F393" s="17"/>
      <c r="H393" s="18"/>
    </row>
    <row r="394" spans="5:8" x14ac:dyDescent="0.25">
      <c r="E394" s="17" t="str">
        <f>IF(F394&lt;&gt;"",_xlfn.XLOOKUP(TEXT(F394,"#"),'Att log'!$B$6:$B$501,'Att log'!$A$6:$A$501,"X"),"")</f>
        <v/>
      </c>
      <c r="F394" s="17"/>
      <c r="H394" s="18"/>
    </row>
    <row r="395" spans="5:8" x14ac:dyDescent="0.25">
      <c r="E395" s="17" t="str">
        <f>IF(F395&lt;&gt;"",_xlfn.XLOOKUP(TEXT(F395,"#"),'Att log'!$B$6:$B$501,'Att log'!$A$6:$A$501,"X"),"")</f>
        <v/>
      </c>
      <c r="F395" s="17"/>
      <c r="H395" s="18"/>
    </row>
    <row r="396" spans="5:8" x14ac:dyDescent="0.25">
      <c r="E396" s="17" t="str">
        <f>IF(F396&lt;&gt;"",_xlfn.XLOOKUP(TEXT(F396,"#"),'Att log'!$B$6:$B$501,'Att log'!$A$6:$A$501,"X"),"")</f>
        <v/>
      </c>
      <c r="F396" s="17"/>
      <c r="H396" s="18"/>
    </row>
    <row r="397" spans="5:8" x14ac:dyDescent="0.25">
      <c r="E397" s="17" t="str">
        <f>IF(F397&lt;&gt;"",_xlfn.XLOOKUP(TEXT(F397,"#"),'Att log'!$B$6:$B$501,'Att log'!$A$6:$A$501,"X"),"")</f>
        <v/>
      </c>
      <c r="F397" s="17"/>
      <c r="H397" s="18"/>
    </row>
    <row r="398" spans="5:8" x14ac:dyDescent="0.25">
      <c r="E398" s="17" t="str">
        <f>IF(F398&lt;&gt;"",_xlfn.XLOOKUP(TEXT(F398,"#"),'Att log'!$B$6:$B$501,'Att log'!$A$6:$A$501,"X"),"")</f>
        <v/>
      </c>
      <c r="F398" s="17"/>
      <c r="H398" s="18"/>
    </row>
    <row r="399" spans="5:8" x14ac:dyDescent="0.25">
      <c r="E399" s="17" t="str">
        <f>IF(F399&lt;&gt;"",_xlfn.XLOOKUP(TEXT(F399,"#"),'Att log'!$B$6:$B$501,'Att log'!$A$6:$A$501,"X"),"")</f>
        <v/>
      </c>
      <c r="F399" s="17"/>
      <c r="H399" s="18"/>
    </row>
    <row r="400" spans="5:8" x14ac:dyDescent="0.25">
      <c r="E400" s="17" t="str">
        <f>IF(F400&lt;&gt;"",_xlfn.XLOOKUP(TEXT(F400,"#"),'Att log'!$B$6:$B$501,'Att log'!$A$6:$A$501,"X"),"")</f>
        <v/>
      </c>
      <c r="F400" s="17"/>
      <c r="H400" s="18"/>
    </row>
    <row r="401" spans="5:8" x14ac:dyDescent="0.25">
      <c r="E401" s="17" t="str">
        <f>IF(F401&lt;&gt;"",_xlfn.XLOOKUP(TEXT(F401,"#"),'Att log'!$B$6:$B$501,'Att log'!$A$6:$A$501,"X"),"")</f>
        <v/>
      </c>
      <c r="F401" s="17"/>
      <c r="H401" s="18"/>
    </row>
    <row r="402" spans="5:8" x14ac:dyDescent="0.25">
      <c r="E402" s="17" t="str">
        <f>IF(F402&lt;&gt;"",_xlfn.XLOOKUP(TEXT(F402,"#"),'Att log'!$B$6:$B$501,'Att log'!$A$6:$A$501,"X"),"")</f>
        <v/>
      </c>
      <c r="F402" s="17"/>
      <c r="H402" s="18"/>
    </row>
    <row r="403" spans="5:8" x14ac:dyDescent="0.25">
      <c r="E403" s="17" t="str">
        <f>IF(F403&lt;&gt;"",_xlfn.XLOOKUP(TEXT(F403,"#"),'Att log'!$B$6:$B$501,'Att log'!$A$6:$A$501,"X"),"")</f>
        <v/>
      </c>
      <c r="F403" s="17"/>
      <c r="H403" s="18"/>
    </row>
    <row r="404" spans="5:8" x14ac:dyDescent="0.25">
      <c r="E404" s="17" t="str">
        <f>IF(F404&lt;&gt;"",_xlfn.XLOOKUP(TEXT(F404,"#"),'Att log'!$B$6:$B$501,'Att log'!$A$6:$A$501,"X"),"")</f>
        <v/>
      </c>
      <c r="F404" s="17"/>
      <c r="H404" s="18"/>
    </row>
    <row r="405" spans="5:8" x14ac:dyDescent="0.25">
      <c r="E405" s="17" t="str">
        <f>IF(F405&lt;&gt;"",_xlfn.XLOOKUP(TEXT(F405,"#"),'Att log'!$B$6:$B$501,'Att log'!$A$6:$A$501,"X"),"")</f>
        <v/>
      </c>
      <c r="F405" s="17"/>
      <c r="H405" s="18"/>
    </row>
    <row r="406" spans="5:8" x14ac:dyDescent="0.25">
      <c r="E406" s="17" t="str">
        <f>IF(F406&lt;&gt;"",_xlfn.XLOOKUP(TEXT(F406,"#"),'Att log'!$B$6:$B$501,'Att log'!$A$6:$A$501,"X"),"")</f>
        <v/>
      </c>
      <c r="F406" s="17"/>
      <c r="H406" s="18"/>
    </row>
    <row r="407" spans="5:8" x14ac:dyDescent="0.25">
      <c r="E407" s="17" t="str">
        <f>IF(F407&lt;&gt;"",_xlfn.XLOOKUP(TEXT(F407,"#"),'Att log'!$B$6:$B$501,'Att log'!$A$6:$A$501,"X"),"")</f>
        <v/>
      </c>
      <c r="F407" s="17"/>
      <c r="H407" s="18"/>
    </row>
    <row r="408" spans="5:8" x14ac:dyDescent="0.25">
      <c r="E408" s="17" t="str">
        <f>IF(F408&lt;&gt;"",_xlfn.XLOOKUP(TEXT(F408,"#"),'Att log'!$B$6:$B$501,'Att log'!$A$6:$A$501,"X"),"")</f>
        <v/>
      </c>
      <c r="F408" s="17"/>
      <c r="H408" s="18"/>
    </row>
    <row r="409" spans="5:8" x14ac:dyDescent="0.25">
      <c r="E409" s="17" t="str">
        <f>IF(F409&lt;&gt;"",_xlfn.XLOOKUP(TEXT(F409,"#"),'Att log'!$B$6:$B$501,'Att log'!$A$6:$A$501,"X"),"")</f>
        <v/>
      </c>
      <c r="F409" s="17"/>
      <c r="H409" s="18"/>
    </row>
    <row r="410" spans="5:8" x14ac:dyDescent="0.25">
      <c r="E410" s="17" t="str">
        <f>IF(F410&lt;&gt;"",_xlfn.XLOOKUP(TEXT(F410,"#"),'Att log'!$B$6:$B$501,'Att log'!$A$6:$A$501,"X"),"")</f>
        <v/>
      </c>
      <c r="F410" s="17"/>
      <c r="H410" s="18"/>
    </row>
    <row r="411" spans="5:8" x14ac:dyDescent="0.25">
      <c r="E411" s="17" t="str">
        <f>IF(F411&lt;&gt;"",_xlfn.XLOOKUP(TEXT(F411,"#"),'Att log'!$B$6:$B$501,'Att log'!$A$6:$A$501,"X"),"")</f>
        <v/>
      </c>
      <c r="F411" s="17"/>
      <c r="H411" s="18"/>
    </row>
    <row r="412" spans="5:8" x14ac:dyDescent="0.25">
      <c r="E412" s="17" t="str">
        <f>IF(F412&lt;&gt;"",_xlfn.XLOOKUP(TEXT(F412,"#"),'Att log'!$B$6:$B$501,'Att log'!$A$6:$A$501,"X"),"")</f>
        <v/>
      </c>
      <c r="F412" s="17"/>
      <c r="H412" s="18"/>
    </row>
    <row r="413" spans="5:8" x14ac:dyDescent="0.25">
      <c r="E413" s="17" t="str">
        <f>IF(F413&lt;&gt;"",_xlfn.XLOOKUP(TEXT(F413,"#"),'Att log'!$B$6:$B$501,'Att log'!$A$6:$A$501,"X"),"")</f>
        <v/>
      </c>
      <c r="F413" s="17"/>
      <c r="H413" s="18"/>
    </row>
    <row r="414" spans="5:8" x14ac:dyDescent="0.25">
      <c r="E414" s="17" t="str">
        <f>IF(F414&lt;&gt;"",_xlfn.XLOOKUP(TEXT(F414,"#"),'Att log'!$B$6:$B$501,'Att log'!$A$6:$A$501,"X"),"")</f>
        <v/>
      </c>
      <c r="F414" s="17"/>
      <c r="H414" s="18"/>
    </row>
    <row r="415" spans="5:8" x14ac:dyDescent="0.25">
      <c r="E415" s="17" t="str">
        <f>IF(F415&lt;&gt;"",_xlfn.XLOOKUP(TEXT(F415,"#"),'Att log'!$B$6:$B$501,'Att log'!$A$6:$A$501,"X"),"")</f>
        <v/>
      </c>
      <c r="F415" s="17"/>
      <c r="H415" s="18"/>
    </row>
    <row r="416" spans="5:8" x14ac:dyDescent="0.25">
      <c r="E416" s="17" t="str">
        <f>IF(F416&lt;&gt;"",_xlfn.XLOOKUP(TEXT(F416,"#"),'Att log'!$B$6:$B$501,'Att log'!$A$6:$A$501,"X"),"")</f>
        <v/>
      </c>
      <c r="F416" s="17"/>
      <c r="H416" s="18"/>
    </row>
    <row r="417" spans="5:8" x14ac:dyDescent="0.25">
      <c r="E417" s="17" t="str">
        <f>IF(F417&lt;&gt;"",_xlfn.XLOOKUP(TEXT(F417,"#"),'Att log'!$B$6:$B$501,'Att log'!$A$6:$A$501,"X"),"")</f>
        <v/>
      </c>
      <c r="F417" s="17"/>
      <c r="H417" s="18"/>
    </row>
    <row r="418" spans="5:8" x14ac:dyDescent="0.25">
      <c r="E418" s="17" t="str">
        <f>IF(F418&lt;&gt;"",_xlfn.XLOOKUP(TEXT(F418,"#"),'Att log'!$B$6:$B$501,'Att log'!$A$6:$A$501,"X"),"")</f>
        <v/>
      </c>
      <c r="F418" s="17"/>
      <c r="H418" s="18"/>
    </row>
    <row r="419" spans="5:8" x14ac:dyDescent="0.25">
      <c r="E419" s="17" t="str">
        <f>IF(F419&lt;&gt;"",_xlfn.XLOOKUP(TEXT(F419,"#"),'Att log'!$B$6:$B$501,'Att log'!$A$6:$A$501,"X"),"")</f>
        <v/>
      </c>
      <c r="F419" s="17"/>
      <c r="H419" s="18"/>
    </row>
    <row r="420" spans="5:8" x14ac:dyDescent="0.25">
      <c r="E420" s="17" t="str">
        <f>IF(F420&lt;&gt;"",_xlfn.XLOOKUP(TEXT(F420,"#"),'Att log'!$B$6:$B$501,'Att log'!$A$6:$A$501,"X"),"")</f>
        <v/>
      </c>
      <c r="F420" s="17"/>
      <c r="H420" s="18"/>
    </row>
    <row r="421" spans="5:8" x14ac:dyDescent="0.25">
      <c r="E421" s="17" t="str">
        <f>IF(F421&lt;&gt;"",_xlfn.XLOOKUP(TEXT(F421,"#"),'Att log'!$B$6:$B$501,'Att log'!$A$6:$A$501,"X"),"")</f>
        <v/>
      </c>
      <c r="F421" s="17"/>
      <c r="H421" s="18"/>
    </row>
    <row r="422" spans="5:8" x14ac:dyDescent="0.25">
      <c r="E422" s="17" t="str">
        <f>IF(F422&lt;&gt;"",_xlfn.XLOOKUP(TEXT(F422,"#"),'Att log'!$B$6:$B$501,'Att log'!$A$6:$A$501,"X"),"")</f>
        <v/>
      </c>
      <c r="F422" s="17"/>
      <c r="H422" s="18"/>
    </row>
    <row r="423" spans="5:8" x14ac:dyDescent="0.25">
      <c r="E423" s="17" t="str">
        <f>IF(F423&lt;&gt;"",_xlfn.XLOOKUP(TEXT(F423,"#"),'Att log'!$B$6:$B$501,'Att log'!$A$6:$A$501,"X"),"")</f>
        <v/>
      </c>
      <c r="F423" s="17"/>
      <c r="H423" s="18"/>
    </row>
    <row r="424" spans="5:8" x14ac:dyDescent="0.25">
      <c r="E424" s="17" t="str">
        <f>IF(F424&lt;&gt;"",_xlfn.XLOOKUP(TEXT(F424,"#"),'Att log'!$B$6:$B$501,'Att log'!$A$6:$A$501,"X"),"")</f>
        <v/>
      </c>
      <c r="F424" s="17"/>
      <c r="H424" s="18"/>
    </row>
    <row r="425" spans="5:8" x14ac:dyDescent="0.25">
      <c r="E425" s="17" t="str">
        <f>IF(F425&lt;&gt;"",_xlfn.XLOOKUP(TEXT(F425,"#"),'Att log'!$B$6:$B$501,'Att log'!$A$6:$A$501,"X"),"")</f>
        <v/>
      </c>
      <c r="F425" s="17"/>
      <c r="H425" s="18"/>
    </row>
    <row r="426" spans="5:8" x14ac:dyDescent="0.25">
      <c r="E426" s="17" t="str">
        <f>IF(F426&lt;&gt;"",_xlfn.XLOOKUP(TEXT(F426,"#"),'Att log'!$B$6:$B$501,'Att log'!$A$6:$A$501,"X"),"")</f>
        <v/>
      </c>
      <c r="F426" s="17"/>
      <c r="H426" s="18"/>
    </row>
    <row r="427" spans="5:8" x14ac:dyDescent="0.25">
      <c r="E427" s="17" t="str">
        <f>IF(F427&lt;&gt;"",_xlfn.XLOOKUP(TEXT(F427,"#"),'Att log'!$B$6:$B$501,'Att log'!$A$6:$A$501,"X"),"")</f>
        <v/>
      </c>
      <c r="F427" s="17"/>
      <c r="H427" s="18"/>
    </row>
    <row r="428" spans="5:8" x14ac:dyDescent="0.25">
      <c r="E428" s="17" t="str">
        <f>IF(F428&lt;&gt;"",_xlfn.XLOOKUP(TEXT(F428,"#"),'Att log'!$B$6:$B$501,'Att log'!$A$6:$A$501,"X"),"")</f>
        <v/>
      </c>
      <c r="F428" s="17"/>
      <c r="H428" s="18"/>
    </row>
    <row r="429" spans="5:8" x14ac:dyDescent="0.25">
      <c r="E429" s="17" t="str">
        <f>IF(F429&lt;&gt;"",_xlfn.XLOOKUP(TEXT(F429,"#"),'Att log'!$B$6:$B$501,'Att log'!$A$6:$A$501,"X"),"")</f>
        <v/>
      </c>
      <c r="F429" s="17"/>
      <c r="H429" s="18"/>
    </row>
    <row r="430" spans="5:8" x14ac:dyDescent="0.25">
      <c r="E430" s="17" t="str">
        <f>IF(F430&lt;&gt;"",_xlfn.XLOOKUP(TEXT(F430,"#"),'Att log'!$B$6:$B$501,'Att log'!$A$6:$A$501,"X"),"")</f>
        <v/>
      </c>
      <c r="F430" s="17"/>
      <c r="H430" s="18"/>
    </row>
    <row r="431" spans="5:8" x14ac:dyDescent="0.25">
      <c r="E431" s="17" t="str">
        <f>IF(F431&lt;&gt;"",_xlfn.XLOOKUP(TEXT(F431,"#"),'Att log'!$B$6:$B$501,'Att log'!$A$6:$A$501,"X"),"")</f>
        <v/>
      </c>
      <c r="F431" s="17"/>
      <c r="H431" s="18"/>
    </row>
    <row r="432" spans="5:8" x14ac:dyDescent="0.25">
      <c r="E432" s="17" t="str">
        <f>IF(F432&lt;&gt;"",_xlfn.XLOOKUP(TEXT(F432,"#"),'Att log'!$B$6:$B$501,'Att log'!$A$6:$A$501,"X"),"")</f>
        <v/>
      </c>
      <c r="F432" s="17"/>
      <c r="H432" s="18"/>
    </row>
    <row r="433" spans="5:8" x14ac:dyDescent="0.25">
      <c r="E433" s="17" t="str">
        <f>IF(F433&lt;&gt;"",_xlfn.XLOOKUP(TEXT(F433,"#"),'Att log'!$B$6:$B$501,'Att log'!$A$6:$A$501,"X"),"")</f>
        <v/>
      </c>
      <c r="F433" s="17"/>
      <c r="H433" s="18"/>
    </row>
    <row r="434" spans="5:8" x14ac:dyDescent="0.25">
      <c r="E434" s="17" t="str">
        <f>IF(F434&lt;&gt;"",_xlfn.XLOOKUP(TEXT(F434,"#"),'Att log'!$B$6:$B$501,'Att log'!$A$6:$A$501,"X"),"")</f>
        <v/>
      </c>
      <c r="F434" s="17"/>
      <c r="H434" s="18"/>
    </row>
    <row r="435" spans="5:8" x14ac:dyDescent="0.25">
      <c r="E435" s="17" t="str">
        <f>IF(F435&lt;&gt;"",_xlfn.XLOOKUP(TEXT(F435,"#"),'Att log'!$B$6:$B$501,'Att log'!$A$6:$A$501,"X"),"")</f>
        <v/>
      </c>
      <c r="F435" s="17"/>
      <c r="H435" s="18"/>
    </row>
    <row r="436" spans="5:8" x14ac:dyDescent="0.25">
      <c r="E436" s="17" t="str">
        <f>IF(F436&lt;&gt;"",_xlfn.XLOOKUP(TEXT(F436,"#"),'Att log'!$B$6:$B$501,'Att log'!$A$6:$A$501,"X"),"")</f>
        <v/>
      </c>
      <c r="F436" s="17"/>
      <c r="H436" s="18"/>
    </row>
    <row r="437" spans="5:8" x14ac:dyDescent="0.25">
      <c r="E437" s="17" t="str">
        <f>IF(F437&lt;&gt;"",_xlfn.XLOOKUP(TEXT(F437,"#"),'Att log'!$B$6:$B$501,'Att log'!$A$6:$A$501,"X"),"")</f>
        <v/>
      </c>
      <c r="F437" s="17"/>
      <c r="H437" s="18"/>
    </row>
    <row r="438" spans="5:8" x14ac:dyDescent="0.25">
      <c r="E438" s="17" t="str">
        <f>IF(F438&lt;&gt;"",_xlfn.XLOOKUP(TEXT(F438,"#"),'Att log'!$B$6:$B$501,'Att log'!$A$6:$A$501,"X"),"")</f>
        <v/>
      </c>
      <c r="F438" s="17"/>
      <c r="H438" s="18"/>
    </row>
    <row r="439" spans="5:8" x14ac:dyDescent="0.25">
      <c r="E439" s="17" t="str">
        <f>IF(F439&lt;&gt;"",_xlfn.XLOOKUP(TEXT(F439,"#"),'Att log'!$B$6:$B$501,'Att log'!$A$6:$A$501,"X"),"")</f>
        <v/>
      </c>
      <c r="F439" s="17"/>
      <c r="H439" s="18"/>
    </row>
    <row r="440" spans="5:8" x14ac:dyDescent="0.25">
      <c r="E440" s="17" t="str">
        <f>IF(F440&lt;&gt;"",_xlfn.XLOOKUP(TEXT(F440,"#"),'Att log'!$B$6:$B$501,'Att log'!$A$6:$A$501,"X"),"")</f>
        <v/>
      </c>
      <c r="F440" s="17"/>
      <c r="H440" s="18"/>
    </row>
    <row r="441" spans="5:8" x14ac:dyDescent="0.25">
      <c r="E441" s="17" t="str">
        <f>IF(F441&lt;&gt;"",_xlfn.XLOOKUP(TEXT(F441,"#"),'Att log'!$B$6:$B$501,'Att log'!$A$6:$A$501,"X"),"")</f>
        <v/>
      </c>
      <c r="F441" s="17"/>
      <c r="H441" s="18"/>
    </row>
    <row r="442" spans="5:8" x14ac:dyDescent="0.25">
      <c r="E442" s="17" t="str">
        <f>IF(F442&lt;&gt;"",_xlfn.XLOOKUP(TEXT(F442,"#"),'Att log'!$B$6:$B$501,'Att log'!$A$6:$A$501,"X"),"")</f>
        <v/>
      </c>
      <c r="F442" s="17"/>
      <c r="H442" s="18"/>
    </row>
    <row r="443" spans="5:8" x14ac:dyDescent="0.25">
      <c r="E443" s="17" t="str">
        <f>IF(F443&lt;&gt;"",_xlfn.XLOOKUP(TEXT(F443,"#"),'Att log'!$B$6:$B$501,'Att log'!$A$6:$A$501,"X"),"")</f>
        <v/>
      </c>
      <c r="F443" s="17"/>
      <c r="H443" s="18"/>
    </row>
    <row r="444" spans="5:8" x14ac:dyDescent="0.25">
      <c r="E444" s="17" t="str">
        <f>IF(F444&lt;&gt;"",_xlfn.XLOOKUP(TEXT(F444,"#"),'Att log'!$B$6:$B$501,'Att log'!$A$6:$A$501,"X"),"")</f>
        <v/>
      </c>
      <c r="F444" s="17"/>
      <c r="H444" s="18"/>
    </row>
    <row r="445" spans="5:8" x14ac:dyDescent="0.25">
      <c r="E445" s="17" t="str">
        <f>IF(F445&lt;&gt;"",_xlfn.XLOOKUP(TEXT(F445,"#"),'Att log'!$B$6:$B$501,'Att log'!$A$6:$A$501,"X"),"")</f>
        <v/>
      </c>
      <c r="F445" s="17"/>
      <c r="H445" s="18"/>
    </row>
    <row r="446" spans="5:8" x14ac:dyDescent="0.25">
      <c r="E446" s="17" t="str">
        <f>IF(F446&lt;&gt;"",_xlfn.XLOOKUP(TEXT(F446,"#"),'Att log'!$B$6:$B$501,'Att log'!$A$6:$A$501,"X"),"")</f>
        <v/>
      </c>
      <c r="F446" s="17"/>
      <c r="H446" s="18"/>
    </row>
    <row r="447" spans="5:8" x14ac:dyDescent="0.25">
      <c r="E447" s="17" t="str">
        <f>IF(F447&lt;&gt;"",_xlfn.XLOOKUP(TEXT(F447,"#"),'Att log'!$B$6:$B$501,'Att log'!$A$6:$A$501,"X"),"")</f>
        <v/>
      </c>
      <c r="F447" s="17"/>
      <c r="H447" s="18"/>
    </row>
    <row r="448" spans="5:8" x14ac:dyDescent="0.25">
      <c r="E448" s="17" t="str">
        <f>IF(F448&lt;&gt;"",_xlfn.XLOOKUP(TEXT(F448,"#"),'Att log'!$B$6:$B$501,'Att log'!$A$6:$A$501,"X"),"")</f>
        <v/>
      </c>
      <c r="F448" s="17"/>
      <c r="H448" s="18"/>
    </row>
    <row r="449" spans="5:8" x14ac:dyDescent="0.25">
      <c r="E449" s="17" t="str">
        <f>IF(F449&lt;&gt;"",_xlfn.XLOOKUP(TEXT(F449,"#"),'Att log'!$B$6:$B$501,'Att log'!$A$6:$A$501,"X"),"")</f>
        <v/>
      </c>
      <c r="F449" s="17"/>
      <c r="H449" s="18"/>
    </row>
    <row r="450" spans="5:8" x14ac:dyDescent="0.25">
      <c r="E450" s="17" t="str">
        <f>IF(F450&lt;&gt;"",_xlfn.XLOOKUP(TEXT(F450,"#"),'Att log'!$B$6:$B$501,'Att log'!$A$6:$A$501,"X"),"")</f>
        <v/>
      </c>
      <c r="F450" s="17"/>
      <c r="H450" s="18"/>
    </row>
    <row r="451" spans="5:8" x14ac:dyDescent="0.25">
      <c r="E451" s="17" t="str">
        <f>IF(F451&lt;&gt;"",_xlfn.XLOOKUP(TEXT(F451,"#"),'Att log'!$B$6:$B$501,'Att log'!$A$6:$A$501,"X"),"")</f>
        <v/>
      </c>
      <c r="F451" s="17"/>
      <c r="H451" s="18"/>
    </row>
    <row r="452" spans="5:8" x14ac:dyDescent="0.25">
      <c r="E452" s="17" t="str">
        <f>IF(F452&lt;&gt;"",_xlfn.XLOOKUP(TEXT(F452,"#"),'Att log'!$B$6:$B$501,'Att log'!$A$6:$A$501,"X"),"")</f>
        <v/>
      </c>
      <c r="F452" s="17"/>
      <c r="H452" s="18"/>
    </row>
    <row r="453" spans="5:8" x14ac:dyDescent="0.25">
      <c r="E453" s="17" t="str">
        <f>IF(F453&lt;&gt;"",_xlfn.XLOOKUP(TEXT(F453,"#"),'Att log'!$B$6:$B$501,'Att log'!$A$6:$A$501,"X"),"")</f>
        <v/>
      </c>
      <c r="F453" s="17"/>
    </row>
    <row r="454" spans="5:8" x14ac:dyDescent="0.25">
      <c r="E454" s="17" t="str">
        <f>IF(F454&lt;&gt;"",_xlfn.XLOOKUP(TEXT(F454,"#"),'Att log'!$B$6:$B$501,'Att log'!$A$6:$A$501,"X"),"")</f>
        <v/>
      </c>
      <c r="F454" s="17"/>
    </row>
    <row r="455" spans="5:8" x14ac:dyDescent="0.25">
      <c r="E455" s="17" t="str">
        <f>IF(F455&lt;&gt;"",_xlfn.XLOOKUP(TEXT(F455,"#"),'Att log'!$B$6:$B$501,'Att log'!$A$6:$A$501,"X"),"")</f>
        <v/>
      </c>
      <c r="F455" s="17"/>
    </row>
    <row r="456" spans="5:8" x14ac:dyDescent="0.25">
      <c r="E456" s="17" t="str">
        <f>IF(F456&lt;&gt;"",_xlfn.XLOOKUP(TEXT(F456,"#"),'Att log'!$B$6:$B$501,'Att log'!$A$6:$A$501,"X"),"")</f>
        <v/>
      </c>
      <c r="F456" s="17"/>
    </row>
    <row r="457" spans="5:8" x14ac:dyDescent="0.25">
      <c r="E457" s="17" t="str">
        <f>IF(F457&lt;&gt;"",_xlfn.XLOOKUP(TEXT(F457,"#"),'Att log'!$B$6:$B$501,'Att log'!$A$6:$A$501,"X"),"")</f>
        <v/>
      </c>
      <c r="F457" s="17"/>
    </row>
    <row r="458" spans="5:8" x14ac:dyDescent="0.25">
      <c r="E458" s="17" t="str">
        <f>IF(F458&lt;&gt;"",_xlfn.XLOOKUP(TEXT(F458,"#"),'Att log'!$B$6:$B$501,'Att log'!$A$6:$A$501,"X"),"")</f>
        <v/>
      </c>
      <c r="F458" s="17"/>
    </row>
    <row r="459" spans="5:8" x14ac:dyDescent="0.25">
      <c r="E459" s="17" t="str">
        <f>IF(F459&lt;&gt;"",_xlfn.XLOOKUP(TEXT(F459,"#"),'Att log'!$B$6:$B$501,'Att log'!$A$6:$A$501,"X"),"")</f>
        <v/>
      </c>
      <c r="F459" s="17"/>
    </row>
    <row r="460" spans="5:8" x14ac:dyDescent="0.25">
      <c r="E460" s="17" t="str">
        <f>IF(F460&lt;&gt;"",_xlfn.XLOOKUP(TEXT(F460,"#"),'Att log'!$B$6:$B$501,'Att log'!$A$6:$A$501,"X"),"")</f>
        <v/>
      </c>
      <c r="F460" s="17"/>
    </row>
    <row r="461" spans="5:8" x14ac:dyDescent="0.25">
      <c r="E461" s="17" t="str">
        <f>IF(F461&lt;&gt;"",_xlfn.XLOOKUP(TEXT(F461,"#"),'Att log'!$B$6:$B$501,'Att log'!$A$6:$A$501,"X"),"")</f>
        <v/>
      </c>
      <c r="F461" s="17"/>
    </row>
    <row r="462" spans="5:8" x14ac:dyDescent="0.25">
      <c r="E462" s="17" t="str">
        <f>IF(F462&lt;&gt;"",_xlfn.XLOOKUP(TEXT(F462,"#"),'Att log'!$B$6:$B$501,'Att log'!$A$6:$A$501,"X"),"")</f>
        <v/>
      </c>
      <c r="F462" s="17"/>
    </row>
    <row r="463" spans="5:8" x14ac:dyDescent="0.25">
      <c r="E463" s="17" t="str">
        <f>IF(F463&lt;&gt;"",_xlfn.XLOOKUP(TEXT(F463,"#"),'Att log'!$B$6:$B$501,'Att log'!$A$6:$A$501,"X"),"")</f>
        <v/>
      </c>
      <c r="F463" s="17"/>
    </row>
    <row r="464" spans="5:8" x14ac:dyDescent="0.25">
      <c r="E464" s="17" t="str">
        <f>IF(F464&lt;&gt;"",_xlfn.XLOOKUP(TEXT(F464,"#"),'Att log'!$B$6:$B$501,'Att log'!$A$6:$A$501,"X"),"")</f>
        <v/>
      </c>
      <c r="F464" s="17"/>
    </row>
    <row r="465" spans="5:6" x14ac:dyDescent="0.25">
      <c r="E465" s="17" t="str">
        <f>IF(F465&lt;&gt;"",_xlfn.XLOOKUP(TEXT(F465,"#"),'Att log'!$B$6:$B$501,'Att log'!$A$6:$A$501,"X"),"")</f>
        <v/>
      </c>
      <c r="F465" s="17"/>
    </row>
    <row r="466" spans="5:6" x14ac:dyDescent="0.25">
      <c r="E466" s="17" t="str">
        <f>IF(F466&lt;&gt;"",_xlfn.XLOOKUP(TEXT(F466,"#"),'Att log'!$B$6:$B$501,'Att log'!$A$6:$A$501,"X"),"")</f>
        <v/>
      </c>
      <c r="F466" s="17"/>
    </row>
    <row r="467" spans="5:6" x14ac:dyDescent="0.25">
      <c r="E467" s="17" t="str">
        <f>IF(F467&lt;&gt;"",_xlfn.XLOOKUP(TEXT(F467,"#"),'Att log'!$B$6:$B$501,'Att log'!$A$6:$A$501,"X"),"")</f>
        <v/>
      </c>
      <c r="F467" s="17"/>
    </row>
    <row r="468" spans="5:6" x14ac:dyDescent="0.25">
      <c r="E468" s="17" t="str">
        <f>IF(F468&lt;&gt;"",_xlfn.XLOOKUP(TEXT(F468,"#"),'Att log'!$B$6:$B$501,'Att log'!$A$6:$A$501,"X"),"")</f>
        <v/>
      </c>
      <c r="F468" s="17"/>
    </row>
    <row r="469" spans="5:6" x14ac:dyDescent="0.25">
      <c r="E469" s="17" t="str">
        <f>IF(F469&lt;&gt;"",_xlfn.XLOOKUP(TEXT(F469,"#"),'Att log'!$B$6:$B$501,'Att log'!$A$6:$A$501,"X"),"")</f>
        <v/>
      </c>
      <c r="F469" s="17"/>
    </row>
    <row r="470" spans="5:6" x14ac:dyDescent="0.25">
      <c r="E470" s="17" t="str">
        <f>IF(F470&lt;&gt;"",_xlfn.XLOOKUP(TEXT(F470,"#"),'Att log'!$B$6:$B$501,'Att log'!$A$6:$A$501,"X"),"")</f>
        <v/>
      </c>
      <c r="F470" s="17"/>
    </row>
    <row r="471" spans="5:6" x14ac:dyDescent="0.25">
      <c r="E471" s="17" t="str">
        <f>IF(F471&lt;&gt;"",_xlfn.XLOOKUP(TEXT(F471,"#"),'Att log'!$B$6:$B$501,'Att log'!$A$6:$A$501,"X"),"")</f>
        <v/>
      </c>
      <c r="F471" s="17"/>
    </row>
    <row r="472" spans="5:6" x14ac:dyDescent="0.25">
      <c r="E472" s="17" t="str">
        <f>IF(F472&lt;&gt;"",_xlfn.XLOOKUP(TEXT(F472,"#"),'Att log'!$B$6:$B$501,'Att log'!$A$6:$A$501,"X"),"")</f>
        <v/>
      </c>
      <c r="F472" s="17"/>
    </row>
    <row r="473" spans="5:6" x14ac:dyDescent="0.25">
      <c r="E473" s="17" t="str">
        <f>IF(F473&lt;&gt;"",_xlfn.XLOOKUP(TEXT(F473,"#"),'Att log'!$B$6:$B$501,'Att log'!$A$6:$A$501,"X"),"")</f>
        <v/>
      </c>
      <c r="F473" s="17"/>
    </row>
    <row r="474" spans="5:6" x14ac:dyDescent="0.25">
      <c r="E474" s="17" t="str">
        <f>IF(F474&lt;&gt;"",_xlfn.XLOOKUP(TEXT(F474,"#"),'Att log'!$B$6:$B$501,'Att log'!$A$6:$A$501,"X"),"")</f>
        <v/>
      </c>
      <c r="F474" s="17"/>
    </row>
    <row r="475" spans="5:6" x14ac:dyDescent="0.25">
      <c r="E475" s="17" t="str">
        <f>IF(F475&lt;&gt;"",_xlfn.XLOOKUP(TEXT(F475,"#"),'Att log'!$B$6:$B$501,'Att log'!$A$6:$A$501,"X"),"")</f>
        <v/>
      </c>
      <c r="F475" s="17"/>
    </row>
    <row r="476" spans="5:6" x14ac:dyDescent="0.25">
      <c r="E476" s="17" t="str">
        <f>IF(F476&lt;&gt;"",_xlfn.XLOOKUP(TEXT(F476,"#"),'Att log'!$B$6:$B$501,'Att log'!$A$6:$A$501,"X"),"")</f>
        <v/>
      </c>
      <c r="F476" s="17"/>
    </row>
    <row r="477" spans="5:6" x14ac:dyDescent="0.25">
      <c r="E477" s="17" t="str">
        <f>IF(F477&lt;&gt;"",_xlfn.XLOOKUP(TEXT(F477,"#"),'Att log'!$B$6:$B$501,'Att log'!$A$6:$A$501,"X"),"")</f>
        <v/>
      </c>
      <c r="F477" s="17"/>
    </row>
    <row r="478" spans="5:6" x14ac:dyDescent="0.25">
      <c r="E478" s="17" t="str">
        <f>IF(F478&lt;&gt;"",_xlfn.XLOOKUP(TEXT(F478,"#"),'Att log'!$B$6:$B$501,'Att log'!$A$6:$A$501,"X"),"")</f>
        <v/>
      </c>
      <c r="F478" s="17"/>
    </row>
    <row r="479" spans="5:6" x14ac:dyDescent="0.25">
      <c r="E479" s="17" t="str">
        <f>IF(F479&lt;&gt;"",_xlfn.XLOOKUP(TEXT(F479,"#"),'Att log'!$B$6:$B$501,'Att log'!$A$6:$A$501,"X"),"")</f>
        <v/>
      </c>
      <c r="F479" s="17"/>
    </row>
    <row r="480" spans="5:6" x14ac:dyDescent="0.25">
      <c r="E480" s="17" t="str">
        <f>IF(F480&lt;&gt;"",_xlfn.XLOOKUP(TEXT(F480,"#"),'Att log'!$B$6:$B$501,'Att log'!$A$6:$A$501,"X"),"")</f>
        <v/>
      </c>
      <c r="F480" s="17"/>
    </row>
    <row r="481" spans="5:6" x14ac:dyDescent="0.25">
      <c r="E481" s="17" t="str">
        <f>IF(F481&lt;&gt;"",_xlfn.XLOOKUP(TEXT(F481,"#"),'Att log'!$B$6:$B$501,'Att log'!$A$6:$A$501,"X"),"")</f>
        <v/>
      </c>
      <c r="F481" s="17"/>
    </row>
    <row r="482" spans="5:6" x14ac:dyDescent="0.25">
      <c r="E482" s="17" t="str">
        <f>IF(F482&lt;&gt;"",_xlfn.XLOOKUP(TEXT(F482,"#"),'Att log'!$B$6:$B$501,'Att log'!$A$6:$A$501,"X"),"")</f>
        <v/>
      </c>
      <c r="F482" s="17"/>
    </row>
    <row r="483" spans="5:6" x14ac:dyDescent="0.25">
      <c r="E483" s="17" t="str">
        <f>IF(F483&lt;&gt;"",_xlfn.XLOOKUP(TEXT(F483,"#"),'Att log'!$B$6:$B$501,'Att log'!$A$6:$A$501,"X"),"")</f>
        <v/>
      </c>
      <c r="F483" s="17"/>
    </row>
    <row r="484" spans="5:6" x14ac:dyDescent="0.25">
      <c r="E484" s="17" t="str">
        <f>IF(F484&lt;&gt;"",_xlfn.XLOOKUP(TEXT(F484,"#"),'Att log'!$B$6:$B$501,'Att log'!$A$6:$A$501,"X"),"")</f>
        <v/>
      </c>
      <c r="F484" s="17"/>
    </row>
    <row r="485" spans="5:6" x14ac:dyDescent="0.25">
      <c r="E485" s="17" t="str">
        <f>IF(F485&lt;&gt;"",_xlfn.XLOOKUP(TEXT(F485,"#"),'Att log'!$B$6:$B$501,'Att log'!$A$6:$A$501,"X"),"")</f>
        <v/>
      </c>
      <c r="F485" s="17"/>
    </row>
    <row r="486" spans="5:6" x14ac:dyDescent="0.25">
      <c r="E486" s="17" t="str">
        <f>IF(F486&lt;&gt;"",_xlfn.XLOOKUP(TEXT(F486,"#"),'Att log'!$B$6:$B$501,'Att log'!$A$6:$A$501,"X"),"")</f>
        <v/>
      </c>
      <c r="F486" s="17"/>
    </row>
    <row r="487" spans="5:6" x14ac:dyDescent="0.25">
      <c r="E487" s="17" t="str">
        <f>IF(F487&lt;&gt;"",_xlfn.XLOOKUP(TEXT(F487,"#"),'Att log'!$B$6:$B$501,'Att log'!$A$6:$A$501,"X"),"")</f>
        <v/>
      </c>
      <c r="F487" s="17"/>
    </row>
    <row r="488" spans="5:6" x14ac:dyDescent="0.25">
      <c r="E488" s="17" t="str">
        <f>IF(F488&lt;&gt;"",_xlfn.XLOOKUP(TEXT(F488,"#"),'Att log'!$B$6:$B$501,'Att log'!$A$6:$A$501,"X"),"")</f>
        <v/>
      </c>
      <c r="F488" s="17"/>
    </row>
    <row r="489" spans="5:6" x14ac:dyDescent="0.25">
      <c r="E489" s="17" t="str">
        <f>IF(F489&lt;&gt;"",_xlfn.XLOOKUP(TEXT(F489,"#"),'Att log'!$B$6:$B$501,'Att log'!$A$6:$A$501,"X"),"")</f>
        <v/>
      </c>
      <c r="F489" s="17"/>
    </row>
    <row r="490" spans="5:6" x14ac:dyDescent="0.25">
      <c r="E490" s="17" t="str">
        <f>IF(F490&lt;&gt;"",_xlfn.XLOOKUP(TEXT(F490,"#"),'Att log'!$B$6:$B$501,'Att log'!$A$6:$A$501,"X"),"")</f>
        <v/>
      </c>
      <c r="F490" s="17"/>
    </row>
    <row r="491" spans="5:6" x14ac:dyDescent="0.25">
      <c r="E491" s="17" t="str">
        <f>IF(F491&lt;&gt;"",_xlfn.XLOOKUP(TEXT(F491,"#"),'Att log'!$B$6:$B$501,'Att log'!$A$6:$A$501,"X"),"")</f>
        <v/>
      </c>
      <c r="F491" s="17"/>
    </row>
    <row r="492" spans="5:6" x14ac:dyDescent="0.25">
      <c r="E492" s="17" t="str">
        <f>IF(F492&lt;&gt;"",_xlfn.XLOOKUP(TEXT(F492,"#"),'Att log'!$B$6:$B$501,'Att log'!$A$6:$A$501,"X"),"")</f>
        <v/>
      </c>
      <c r="F492" s="17"/>
    </row>
    <row r="493" spans="5:6" x14ac:dyDescent="0.25">
      <c r="E493" s="17" t="str">
        <f>IF(F493&lt;&gt;"",_xlfn.XLOOKUP(TEXT(F493,"#"),'Att log'!$B$6:$B$501,'Att log'!$A$6:$A$501,"X"),"")</f>
        <v/>
      </c>
      <c r="F493" s="17"/>
    </row>
    <row r="494" spans="5:6" x14ac:dyDescent="0.25">
      <c r="E494" s="17" t="str">
        <f>IF(F494&lt;&gt;"",_xlfn.XLOOKUP(TEXT(F494,"#"),'Att log'!$B$6:$B$501,'Att log'!$A$6:$A$501,"X"),"")</f>
        <v/>
      </c>
      <c r="F494" s="17"/>
    </row>
    <row r="495" spans="5:6" x14ac:dyDescent="0.25">
      <c r="E495" s="17" t="str">
        <f>IF(F495&lt;&gt;"",_xlfn.XLOOKUP(TEXT(F495,"#"),'Att log'!$B$6:$B$501,'Att log'!$A$6:$A$501,"X"),"")</f>
        <v/>
      </c>
      <c r="F495" s="17"/>
    </row>
    <row r="496" spans="5:6" x14ac:dyDescent="0.25">
      <c r="E496" s="17" t="str">
        <f>IF(F496&lt;&gt;"",_xlfn.XLOOKUP(TEXT(F496,"#"),'Att log'!$B$6:$B$501,'Att log'!$A$6:$A$501,"X"),"")</f>
        <v/>
      </c>
      <c r="F496" s="17"/>
    </row>
    <row r="497" spans="5:6" x14ac:dyDescent="0.25">
      <c r="E497" s="17" t="str">
        <f>IF(F497&lt;&gt;"",_xlfn.XLOOKUP(TEXT(F497,"#"),'Att log'!$B$6:$B$501,'Att log'!$A$6:$A$501,"X"),"")</f>
        <v/>
      </c>
      <c r="F497" s="17"/>
    </row>
    <row r="498" spans="5:6" x14ac:dyDescent="0.25">
      <c r="E498" s="17" t="str">
        <f>IF(F498&lt;&gt;"",_xlfn.XLOOKUP(TEXT(F498,"#"),'Att log'!$B$6:$B$501,'Att log'!$A$6:$A$501,"X"),"")</f>
        <v/>
      </c>
      <c r="F498" s="17"/>
    </row>
    <row r="499" spans="5:6" x14ac:dyDescent="0.25">
      <c r="E499" s="17" t="str">
        <f>IF(F499&lt;&gt;"",_xlfn.XLOOKUP(TEXT(F499,"#"),'Att log'!$B$6:$B$501,'Att log'!$A$6:$A$501,"X"),"")</f>
        <v/>
      </c>
      <c r="F499" s="17"/>
    </row>
    <row r="500" spans="5:6" x14ac:dyDescent="0.25">
      <c r="E500" s="17" t="str">
        <f>IF(F500&lt;&gt;"",_xlfn.XLOOKUP(TEXT(F500,"#"),'Att log'!$B$6:$B$501,'Att log'!$A$6:$A$501,"X"),"")</f>
        <v/>
      </c>
      <c r="F500" s="17"/>
    </row>
    <row r="501" spans="5:6" x14ac:dyDescent="0.25">
      <c r="E501" s="17" t="str">
        <f>IF(F501&lt;&gt;"",_xlfn.XLOOKUP(TEXT(F501,"#"),'Att log'!$B$6:$B$501,'Att log'!$A$6:$A$501,"X"),"")</f>
        <v/>
      </c>
      <c r="F501" s="17"/>
    </row>
    <row r="502" spans="5:6" x14ac:dyDescent="0.25">
      <c r="E502" s="17" t="str">
        <f>IF(F502&lt;&gt;"",_xlfn.XLOOKUP(TEXT(F502,"#"),'Att log'!$B$6:$B$501,'Att log'!$A$6:$A$501,"X"),"")</f>
        <v/>
      </c>
      <c r="F502" s="17"/>
    </row>
    <row r="503" spans="5:6" x14ac:dyDescent="0.25">
      <c r="E503" s="17" t="str">
        <f>IF(F503&lt;&gt;"",_xlfn.XLOOKUP(TEXT(F503,"#"),'Att log'!$B$6:$B$501,'Att log'!$A$6:$A$501,"X"),"")</f>
        <v/>
      </c>
      <c r="F503" s="17"/>
    </row>
    <row r="504" spans="5:6" x14ac:dyDescent="0.25">
      <c r="E504" s="17" t="str">
        <f>IF(F504&lt;&gt;"",_xlfn.XLOOKUP(TEXT(F504,"#"),'Att log'!$B$6:$B$501,'Att log'!$A$6:$A$501,"X"),"")</f>
        <v/>
      </c>
      <c r="F504" s="17"/>
    </row>
    <row r="505" spans="5:6" x14ac:dyDescent="0.25">
      <c r="E505" s="17" t="str">
        <f>IF(F505&lt;&gt;"",_xlfn.XLOOKUP(TEXT(F505,"#"),'Att log'!$B$6:$B$501,'Att log'!$A$6:$A$501,"X"),"")</f>
        <v/>
      </c>
      <c r="F505" s="17"/>
    </row>
  </sheetData>
  <mergeCells count="1">
    <mergeCell ref="G2:G3"/>
  </mergeCells>
  <phoneticPr fontId="1" type="noConversion"/>
  <conditionalFormatting sqref="F2:G2 E4:G5 F6:G110 E6:E505 I4">
    <cfRule type="cellIs" dxfId="6" priority="6" operator="equal">
      <formula>"n"</formula>
    </cfRule>
  </conditionalFormatting>
  <conditionalFormatting sqref="F2:G2 F4:G130 I4">
    <cfRule type="expression" dxfId="5" priority="8">
      <formula>#REF!="n"</formula>
    </cfRule>
  </conditionalFormatting>
  <conditionalFormatting sqref="E5:E505">
    <cfRule type="containsText" dxfId="4" priority="4" operator="containsText" text="X">
      <formula>NOT(ISERROR(SEARCH("X",E5)))</formula>
    </cfRule>
  </conditionalFormatting>
  <conditionalFormatting sqref="G2:G3">
    <cfRule type="containsText" dxfId="3" priority="3" operator="containsText" text="انت بتكتب انجليزي">
      <formula>NOT(ISERROR(SEARCH("انت بتكتب انجليزي",G2)))</formula>
    </cfRule>
  </conditionalFormatting>
  <conditionalFormatting sqref="E4:G4">
    <cfRule type="expression" dxfId="2" priority="1">
      <formula>($F$2="")+($G$2="انت بتكتب انجليزي")</formula>
    </cfRule>
  </conditionalFormatting>
  <dataValidations count="1">
    <dataValidation type="list" allowBlank="1" showInputMessage="1" showErrorMessage="1" sqref="B2:B5" xr:uid="{D8C18C9F-DC73-4799-8FE1-E3BEF0CCD41C}">
      <formula1>$S$2:$S$9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TextBox1">
          <controlPr defaultSize="0" autoLine="0" linkedCell="F2" r:id="rId4">
            <anchor moveWithCells="1">
              <from>
                <xdr:col>5</xdr:col>
                <xdr:colOff>19050</xdr:colOff>
                <xdr:row>1</xdr:row>
                <xdr:rowOff>161925</xdr:rowOff>
              </from>
              <to>
                <xdr:col>6</xdr:col>
                <xdr:colOff>47625</xdr:colOff>
                <xdr:row>2</xdr:row>
                <xdr:rowOff>180975</xdr:rowOff>
              </to>
            </anchor>
          </controlPr>
        </control>
      </mc:Choice>
      <mc:Fallback>
        <control shapeId="1026" r:id="rId3" name="TextBox1"/>
      </mc:Fallback>
    </mc:AlternateContent>
  </controls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40ABFF13-CB89-4FB3-BCAC-93583917CFFD}">
            <xm:f>TODAY()=DATEVALUE('Att log'!$D$18)</xm:f>
            <x14:dxf>
              <font>
                <color theme="1"/>
              </font>
              <fill>
                <patternFill>
                  <bgColor theme="7" tint="0.39994506668294322"/>
                </patternFill>
              </fill>
            </x14:dxf>
          </x14:cfRule>
          <xm:sqref>F1:G1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55B5B-8567-4A13-BAF7-8502B2D89AD1}">
  <sheetPr codeName="Sheet2">
    <tabColor theme="7" tint="0.39997558519241921"/>
  </sheetPr>
  <dimension ref="A1:U324"/>
  <sheetViews>
    <sheetView zoomScale="115" zoomScaleNormal="115" workbookViewId="0">
      <selection activeCell="H6" sqref="H6"/>
    </sheetView>
  </sheetViews>
  <sheetFormatPr defaultRowHeight="15" x14ac:dyDescent="0.25"/>
  <cols>
    <col min="1" max="1" width="7.42578125" bestFit="1" customWidth="1"/>
    <col min="2" max="2" width="23.28515625" bestFit="1" customWidth="1"/>
    <col min="3" max="3" width="10.28515625" bestFit="1" customWidth="1"/>
    <col min="4" max="4" width="11.85546875" bestFit="1" customWidth="1"/>
    <col min="5" max="5" width="16.85546875" bestFit="1" customWidth="1"/>
    <col min="6" max="6" width="20.7109375" style="4" bestFit="1" customWidth="1"/>
    <col min="7" max="7" width="12" style="4" bestFit="1" customWidth="1"/>
    <col min="8" max="8" width="13.42578125" style="4" bestFit="1" customWidth="1"/>
    <col min="9" max="9" width="14.7109375" style="4" bestFit="1" customWidth="1"/>
    <col min="10" max="10" width="14" style="4" bestFit="1" customWidth="1"/>
    <col min="11" max="11" width="14.7109375" style="4" bestFit="1" customWidth="1"/>
    <col min="12" max="12" width="37.7109375" style="4" bestFit="1" customWidth="1"/>
    <col min="13" max="13" width="15.5703125" style="4" bestFit="1" customWidth="1"/>
    <col min="14" max="14" width="73.42578125" style="4" bestFit="1" customWidth="1"/>
    <col min="15" max="15" width="16.85546875" style="4" bestFit="1" customWidth="1"/>
    <col min="16" max="16" width="13.42578125" style="4" bestFit="1" customWidth="1"/>
    <col min="17" max="17" width="19.140625" style="4" bestFit="1" customWidth="1"/>
    <col min="18" max="18" width="13.42578125" style="4" bestFit="1" customWidth="1"/>
    <col min="19" max="19" width="34.85546875" style="4" bestFit="1" customWidth="1"/>
    <col min="20" max="20" width="18" style="4" bestFit="1" customWidth="1"/>
    <col min="21" max="21" width="81.140625" style="4" bestFit="1" customWidth="1"/>
  </cols>
  <sheetData>
    <row r="1" spans="1:21" x14ac:dyDescent="0.25">
      <c r="A1" s="6" t="s">
        <v>1</v>
      </c>
      <c r="B1" s="6" t="s">
        <v>12</v>
      </c>
      <c r="C1" s="6" t="s">
        <v>13</v>
      </c>
      <c r="D1" s="6" t="s">
        <v>14</v>
      </c>
      <c r="E1" s="6" t="s">
        <v>15</v>
      </c>
      <c r="F1" s="6" t="s">
        <v>16</v>
      </c>
      <c r="G1" s="6" t="s">
        <v>17</v>
      </c>
      <c r="H1" s="6" t="s">
        <v>18</v>
      </c>
      <c r="I1" s="6" t="s">
        <v>19</v>
      </c>
      <c r="J1" s="6" t="s">
        <v>20</v>
      </c>
      <c r="K1" s="6" t="s">
        <v>21</v>
      </c>
      <c r="L1" s="6" t="s">
        <v>22</v>
      </c>
      <c r="M1" s="6" t="s">
        <v>23</v>
      </c>
      <c r="N1" s="6" t="s">
        <v>24</v>
      </c>
      <c r="O1" s="6" t="s">
        <v>25</v>
      </c>
      <c r="P1" s="6" t="s">
        <v>26</v>
      </c>
      <c r="Q1" s="6" t="s">
        <v>27</v>
      </c>
      <c r="R1" s="6" t="s">
        <v>28</v>
      </c>
      <c r="S1" s="6" t="s">
        <v>29</v>
      </c>
      <c r="T1" s="6" t="s">
        <v>30</v>
      </c>
      <c r="U1" s="6" t="s">
        <v>31</v>
      </c>
    </row>
    <row r="2" spans="1:21" x14ac:dyDescent="0.25">
      <c r="A2" s="7">
        <v>1</v>
      </c>
      <c r="B2" s="8" t="s">
        <v>1206</v>
      </c>
      <c r="C2" s="8" t="s">
        <v>33</v>
      </c>
      <c r="D2" s="9">
        <v>33920</v>
      </c>
      <c r="E2" s="8" t="s">
        <v>34</v>
      </c>
      <c r="F2" s="8" t="s">
        <v>1291</v>
      </c>
      <c r="G2" s="8" t="s">
        <v>36</v>
      </c>
      <c r="H2" s="8"/>
      <c r="I2" s="8" t="s">
        <v>1292</v>
      </c>
      <c r="J2" s="8"/>
      <c r="K2" s="8"/>
      <c r="L2" s="8" t="s">
        <v>1293</v>
      </c>
      <c r="M2" s="8" t="s">
        <v>1294</v>
      </c>
      <c r="N2" s="8" t="s">
        <v>1295</v>
      </c>
      <c r="O2" s="8"/>
      <c r="P2" s="8" t="s">
        <v>143</v>
      </c>
      <c r="Q2" s="8" t="s">
        <v>362</v>
      </c>
      <c r="R2" s="8"/>
      <c r="S2" s="8"/>
      <c r="T2" s="8" t="s">
        <v>48</v>
      </c>
      <c r="U2" s="8"/>
    </row>
    <row r="3" spans="1:21" x14ac:dyDescent="0.25">
      <c r="A3" s="7">
        <v>2</v>
      </c>
      <c r="B3" s="8" t="s">
        <v>512</v>
      </c>
      <c r="C3" s="8" t="s">
        <v>33</v>
      </c>
      <c r="D3" s="9">
        <v>24415</v>
      </c>
      <c r="E3" s="8" t="s">
        <v>34</v>
      </c>
      <c r="F3" s="8"/>
      <c r="G3" s="8" t="s">
        <v>48</v>
      </c>
      <c r="H3" s="8" t="s">
        <v>513</v>
      </c>
      <c r="I3" s="8" t="s">
        <v>514</v>
      </c>
      <c r="J3" s="8"/>
      <c r="K3" s="8"/>
      <c r="L3" s="8" t="s">
        <v>444</v>
      </c>
      <c r="M3" s="8" t="s">
        <v>55</v>
      </c>
      <c r="N3" s="8" t="s">
        <v>397</v>
      </c>
      <c r="O3" s="8" t="s">
        <v>64</v>
      </c>
      <c r="P3" s="8" t="s">
        <v>72</v>
      </c>
      <c r="Q3" s="8" t="s">
        <v>143</v>
      </c>
      <c r="R3" s="8" t="s">
        <v>47</v>
      </c>
      <c r="S3" s="8" t="s">
        <v>515</v>
      </c>
      <c r="T3" s="8" t="s">
        <v>48</v>
      </c>
      <c r="U3" s="8"/>
    </row>
    <row r="4" spans="1:21" x14ac:dyDescent="0.25">
      <c r="A4" s="7">
        <v>3</v>
      </c>
      <c r="B4" s="8" t="s">
        <v>32</v>
      </c>
      <c r="C4" s="8" t="s">
        <v>33</v>
      </c>
      <c r="D4" s="9">
        <v>38923</v>
      </c>
      <c r="E4" s="8" t="s">
        <v>34</v>
      </c>
      <c r="F4" s="8" t="s">
        <v>35</v>
      </c>
      <c r="G4" s="8" t="s">
        <v>36</v>
      </c>
      <c r="H4" s="8"/>
      <c r="I4" s="8" t="s">
        <v>38</v>
      </c>
      <c r="J4" s="8" t="s">
        <v>39</v>
      </c>
      <c r="K4" s="8" t="s">
        <v>40</v>
      </c>
      <c r="L4" s="8" t="s">
        <v>41</v>
      </c>
      <c r="M4" s="8" t="s">
        <v>42</v>
      </c>
      <c r="N4" s="8" t="s">
        <v>43</v>
      </c>
      <c r="O4" s="8" t="s">
        <v>44</v>
      </c>
      <c r="P4" s="8" t="s">
        <v>45</v>
      </c>
      <c r="Q4" s="8" t="s">
        <v>46</v>
      </c>
      <c r="R4" s="8" t="s">
        <v>47</v>
      </c>
      <c r="S4" s="8"/>
      <c r="T4" s="8" t="s">
        <v>48</v>
      </c>
      <c r="U4" s="8"/>
    </row>
    <row r="5" spans="1:21" x14ac:dyDescent="0.25">
      <c r="A5" s="7">
        <v>4</v>
      </c>
      <c r="B5" s="8" t="s">
        <v>542</v>
      </c>
      <c r="C5" s="8" t="s">
        <v>33</v>
      </c>
      <c r="D5" s="9">
        <v>32698</v>
      </c>
      <c r="E5" s="8" t="s">
        <v>34</v>
      </c>
      <c r="F5" s="8"/>
      <c r="G5" s="8" t="s">
        <v>48</v>
      </c>
      <c r="H5" s="8" t="s">
        <v>543</v>
      </c>
      <c r="I5" s="8" t="s">
        <v>544</v>
      </c>
      <c r="J5" s="8"/>
      <c r="K5" s="8"/>
      <c r="L5" s="8" t="s">
        <v>444</v>
      </c>
      <c r="M5" s="8"/>
      <c r="N5" s="8" t="s">
        <v>545</v>
      </c>
      <c r="O5" s="8"/>
      <c r="P5" s="8" t="s">
        <v>46</v>
      </c>
      <c r="Q5" s="8" t="s">
        <v>143</v>
      </c>
      <c r="R5" s="8" t="s">
        <v>47</v>
      </c>
      <c r="S5" s="8" t="s">
        <v>546</v>
      </c>
      <c r="T5" s="8" t="s">
        <v>48</v>
      </c>
      <c r="U5" s="8"/>
    </row>
    <row r="6" spans="1:21" x14ac:dyDescent="0.25">
      <c r="A6" s="7">
        <v>5</v>
      </c>
      <c r="B6" s="8" t="s">
        <v>576</v>
      </c>
      <c r="C6" s="8" t="s">
        <v>33</v>
      </c>
      <c r="D6" s="9">
        <v>27324</v>
      </c>
      <c r="E6" s="8" t="s">
        <v>34</v>
      </c>
      <c r="F6" s="8"/>
      <c r="G6" s="8" t="s">
        <v>48</v>
      </c>
      <c r="H6" s="8"/>
      <c r="I6" s="8"/>
      <c r="J6" s="8"/>
      <c r="K6" s="8"/>
      <c r="L6" s="8" t="s">
        <v>238</v>
      </c>
      <c r="M6" s="8" t="s">
        <v>239</v>
      </c>
      <c r="N6" s="8" t="s">
        <v>240</v>
      </c>
      <c r="O6" s="8" t="s">
        <v>124</v>
      </c>
      <c r="P6" s="8" t="s">
        <v>46</v>
      </c>
      <c r="Q6" s="8" t="s">
        <v>62</v>
      </c>
      <c r="R6" s="8"/>
      <c r="S6" s="8"/>
      <c r="T6" s="8" t="s">
        <v>48</v>
      </c>
      <c r="U6" s="8"/>
    </row>
    <row r="7" spans="1:21" x14ac:dyDescent="0.25">
      <c r="A7" s="7">
        <v>6</v>
      </c>
      <c r="B7" s="8" t="s">
        <v>1219</v>
      </c>
      <c r="C7" s="8" t="s">
        <v>33</v>
      </c>
      <c r="D7" s="9">
        <v>31572</v>
      </c>
      <c r="E7" s="8" t="s">
        <v>34</v>
      </c>
      <c r="F7" s="8"/>
      <c r="G7" s="8" t="s">
        <v>48</v>
      </c>
      <c r="H7" s="8"/>
      <c r="I7" s="8" t="s">
        <v>1220</v>
      </c>
      <c r="J7" s="8"/>
      <c r="K7" s="8"/>
      <c r="L7" s="8" t="s">
        <v>567</v>
      </c>
      <c r="M7" s="8" t="s">
        <v>72</v>
      </c>
      <c r="N7" s="8" t="s">
        <v>1221</v>
      </c>
      <c r="O7" s="8"/>
      <c r="P7" s="8" t="s">
        <v>55</v>
      </c>
      <c r="Q7" s="8" t="s">
        <v>65</v>
      </c>
      <c r="R7" s="8" t="s">
        <v>47</v>
      </c>
      <c r="S7" s="8" t="s">
        <v>1222</v>
      </c>
      <c r="T7" s="8" t="s">
        <v>48</v>
      </c>
      <c r="U7" s="8"/>
    </row>
    <row r="8" spans="1:21" x14ac:dyDescent="0.25">
      <c r="A8" s="7">
        <v>102</v>
      </c>
      <c r="B8" s="8" t="s">
        <v>538</v>
      </c>
      <c r="C8" s="8" t="s">
        <v>33</v>
      </c>
      <c r="D8" s="9">
        <v>32698</v>
      </c>
      <c r="E8" s="8" t="s">
        <v>34</v>
      </c>
      <c r="F8" s="8"/>
      <c r="G8" s="8" t="s">
        <v>48</v>
      </c>
      <c r="H8" s="8"/>
      <c r="I8" s="8" t="s">
        <v>539</v>
      </c>
      <c r="J8" s="8"/>
      <c r="K8" s="8"/>
      <c r="L8" s="8" t="s">
        <v>540</v>
      </c>
      <c r="M8" s="8" t="s">
        <v>62</v>
      </c>
      <c r="N8" s="8" t="s">
        <v>114</v>
      </c>
      <c r="O8" s="8"/>
      <c r="P8" s="8" t="s">
        <v>45</v>
      </c>
      <c r="Q8" s="8" t="s">
        <v>65</v>
      </c>
      <c r="R8" s="8" t="s">
        <v>47</v>
      </c>
      <c r="S8" s="8" t="s">
        <v>541</v>
      </c>
      <c r="T8" s="8" t="s">
        <v>48</v>
      </c>
      <c r="U8" s="8"/>
    </row>
    <row r="9" spans="1:21" x14ac:dyDescent="0.25">
      <c r="A9" s="7">
        <v>103</v>
      </c>
      <c r="B9" s="8" t="s">
        <v>561</v>
      </c>
      <c r="C9" s="8" t="s">
        <v>33</v>
      </c>
      <c r="D9" s="9">
        <v>36000</v>
      </c>
      <c r="E9" s="8" t="s">
        <v>34</v>
      </c>
      <c r="F9" s="8"/>
      <c r="G9" s="8" t="s">
        <v>48</v>
      </c>
      <c r="H9" s="8" t="s">
        <v>562</v>
      </c>
      <c r="I9" s="8" t="s">
        <v>563</v>
      </c>
      <c r="J9" s="8"/>
      <c r="K9" s="8"/>
      <c r="L9" s="8" t="s">
        <v>190</v>
      </c>
      <c r="M9" s="8" t="s">
        <v>564</v>
      </c>
      <c r="N9" s="8" t="s">
        <v>123</v>
      </c>
      <c r="O9" s="8"/>
      <c r="P9" s="8" t="s">
        <v>51</v>
      </c>
      <c r="Q9" s="8" t="s">
        <v>45</v>
      </c>
      <c r="R9" s="8" t="s">
        <v>47</v>
      </c>
      <c r="S9" s="8"/>
      <c r="T9" s="8" t="s">
        <v>48</v>
      </c>
      <c r="U9" s="8"/>
    </row>
    <row r="10" spans="1:21" x14ac:dyDescent="0.25">
      <c r="A10" s="7">
        <v>104</v>
      </c>
      <c r="B10" s="8" t="s">
        <v>558</v>
      </c>
      <c r="C10" s="8" t="s">
        <v>33</v>
      </c>
      <c r="D10" s="9">
        <v>36439</v>
      </c>
      <c r="E10" s="8" t="s">
        <v>34</v>
      </c>
      <c r="F10" s="8"/>
      <c r="G10" s="8" t="s">
        <v>48</v>
      </c>
      <c r="H10" s="8"/>
      <c r="I10" s="8" t="s">
        <v>559</v>
      </c>
      <c r="J10" s="8"/>
      <c r="K10" s="8"/>
      <c r="L10" s="8" t="s">
        <v>238</v>
      </c>
      <c r="M10" s="8" t="s">
        <v>278</v>
      </c>
      <c r="N10" s="8" t="s">
        <v>479</v>
      </c>
      <c r="O10" s="8" t="s">
        <v>124</v>
      </c>
      <c r="P10" s="8" t="s">
        <v>51</v>
      </c>
      <c r="Q10" s="8" t="s">
        <v>51</v>
      </c>
      <c r="R10" s="8"/>
      <c r="S10" s="8" t="s">
        <v>560</v>
      </c>
      <c r="T10" s="8" t="s">
        <v>48</v>
      </c>
      <c r="U10" s="8"/>
    </row>
    <row r="11" spans="1:21" x14ac:dyDescent="0.25">
      <c r="A11" s="7">
        <v>113</v>
      </c>
      <c r="B11" s="8" t="s">
        <v>1424</v>
      </c>
      <c r="C11" s="8" t="s">
        <v>33</v>
      </c>
      <c r="D11" s="9">
        <v>39644</v>
      </c>
      <c r="E11" s="8" t="s">
        <v>4</v>
      </c>
      <c r="F11" s="8" t="s">
        <v>66</v>
      </c>
      <c r="G11" s="8" t="s">
        <v>48</v>
      </c>
      <c r="H11" s="8"/>
      <c r="I11" s="8" t="s">
        <v>67</v>
      </c>
      <c r="J11" s="8" t="s">
        <v>68</v>
      </c>
      <c r="K11" s="8"/>
      <c r="L11" s="8"/>
      <c r="M11" s="8" t="s">
        <v>69</v>
      </c>
      <c r="N11" s="8" t="s">
        <v>70</v>
      </c>
      <c r="O11" s="8" t="s">
        <v>71</v>
      </c>
      <c r="P11" s="8" t="s">
        <v>72</v>
      </c>
      <c r="Q11" s="8" t="s">
        <v>69</v>
      </c>
      <c r="R11" s="8" t="s">
        <v>47</v>
      </c>
      <c r="S11" s="8" t="s">
        <v>73</v>
      </c>
      <c r="T11" s="8" t="s">
        <v>48</v>
      </c>
      <c r="U11" s="8"/>
    </row>
    <row r="12" spans="1:21" x14ac:dyDescent="0.25">
      <c r="A12" s="7">
        <v>114</v>
      </c>
      <c r="B12" s="8" t="s">
        <v>74</v>
      </c>
      <c r="C12" s="8" t="s">
        <v>33</v>
      </c>
      <c r="D12" s="9">
        <v>39780</v>
      </c>
      <c r="E12" s="8" t="s">
        <v>4</v>
      </c>
      <c r="F12" s="8"/>
      <c r="G12" s="8" t="s">
        <v>48</v>
      </c>
      <c r="H12" s="8"/>
      <c r="I12" s="8" t="s">
        <v>75</v>
      </c>
      <c r="J12" s="8"/>
      <c r="K12" s="8"/>
      <c r="L12" s="8"/>
      <c r="M12" s="8" t="s">
        <v>72</v>
      </c>
      <c r="N12" s="8" t="s">
        <v>76</v>
      </c>
      <c r="O12" s="8"/>
      <c r="P12" s="8"/>
      <c r="Q12" s="8"/>
      <c r="R12" s="8" t="s">
        <v>47</v>
      </c>
      <c r="S12" s="8"/>
      <c r="T12" s="8" t="s">
        <v>48</v>
      </c>
      <c r="U12" s="8"/>
    </row>
    <row r="13" spans="1:21" x14ac:dyDescent="0.25">
      <c r="A13" s="7">
        <v>115</v>
      </c>
      <c r="B13" s="8" t="s">
        <v>77</v>
      </c>
      <c r="C13" s="8" t="s">
        <v>33</v>
      </c>
      <c r="D13" s="9">
        <v>39639</v>
      </c>
      <c r="E13" s="8" t="s">
        <v>4</v>
      </c>
      <c r="F13" s="8" t="s">
        <v>78</v>
      </c>
      <c r="G13" s="8" t="s">
        <v>48</v>
      </c>
      <c r="H13" s="8"/>
      <c r="I13" s="8"/>
      <c r="J13" s="8" t="s">
        <v>79</v>
      </c>
      <c r="K13" s="8" t="s">
        <v>80</v>
      </c>
      <c r="L13" s="8" t="s">
        <v>41</v>
      </c>
      <c r="M13" s="8" t="s">
        <v>81</v>
      </c>
      <c r="N13" s="8" t="s">
        <v>82</v>
      </c>
      <c r="O13" s="8"/>
      <c r="P13" s="8" t="s">
        <v>65</v>
      </c>
      <c r="Q13" s="8" t="s">
        <v>83</v>
      </c>
      <c r="R13" s="8" t="s">
        <v>47</v>
      </c>
      <c r="S13" s="8" t="s">
        <v>84</v>
      </c>
      <c r="T13" s="8" t="s">
        <v>48</v>
      </c>
      <c r="U13" s="8"/>
    </row>
    <row r="14" spans="1:21" x14ac:dyDescent="0.25">
      <c r="A14" s="7">
        <v>116</v>
      </c>
      <c r="B14" s="8" t="s">
        <v>85</v>
      </c>
      <c r="C14" s="8" t="s">
        <v>33</v>
      </c>
      <c r="D14" s="9">
        <v>39788</v>
      </c>
      <c r="E14" s="8" t="s">
        <v>4</v>
      </c>
      <c r="F14" s="8" t="s">
        <v>86</v>
      </c>
      <c r="G14" s="8" t="s">
        <v>48</v>
      </c>
      <c r="H14" s="8"/>
      <c r="I14" s="8" t="s">
        <v>87</v>
      </c>
      <c r="J14" s="8" t="s">
        <v>88</v>
      </c>
      <c r="K14" s="8" t="s">
        <v>89</v>
      </c>
      <c r="L14" s="8" t="s">
        <v>90</v>
      </c>
      <c r="M14" s="8" t="s">
        <v>91</v>
      </c>
      <c r="N14" s="8" t="s">
        <v>92</v>
      </c>
      <c r="O14" s="8"/>
      <c r="P14" s="8" t="s">
        <v>93</v>
      </c>
      <c r="Q14" s="8" t="s">
        <v>45</v>
      </c>
      <c r="R14" s="8" t="s">
        <v>47</v>
      </c>
      <c r="S14" s="8" t="s">
        <v>94</v>
      </c>
      <c r="T14" s="8" t="s">
        <v>48</v>
      </c>
      <c r="U14" s="8"/>
    </row>
    <row r="15" spans="1:21" x14ac:dyDescent="0.25">
      <c r="A15" s="7">
        <v>118</v>
      </c>
      <c r="B15" s="8" t="s">
        <v>99</v>
      </c>
      <c r="C15" s="8" t="s">
        <v>33</v>
      </c>
      <c r="D15" s="9">
        <v>40033</v>
      </c>
      <c r="E15" s="8" t="s">
        <v>4</v>
      </c>
      <c r="F15" s="8"/>
      <c r="G15" s="8" t="s">
        <v>48</v>
      </c>
      <c r="H15" s="8"/>
      <c r="I15" s="8" t="s">
        <v>100</v>
      </c>
      <c r="J15" s="8"/>
      <c r="K15" s="8"/>
      <c r="L15" s="8"/>
      <c r="M15" s="8"/>
      <c r="N15" s="8" t="s">
        <v>101</v>
      </c>
      <c r="O15" s="8"/>
      <c r="P15" s="8" t="s">
        <v>45</v>
      </c>
      <c r="Q15" s="8" t="s">
        <v>72</v>
      </c>
      <c r="R15" s="8" t="s">
        <v>102</v>
      </c>
      <c r="S15" s="8"/>
      <c r="T15" s="8" t="s">
        <v>48</v>
      </c>
      <c r="U15" s="8"/>
    </row>
    <row r="16" spans="1:21" x14ac:dyDescent="0.25">
      <c r="A16" s="7">
        <v>119</v>
      </c>
      <c r="B16" s="8" t="s">
        <v>103</v>
      </c>
      <c r="C16" s="8" t="s">
        <v>33</v>
      </c>
      <c r="D16" s="9">
        <v>39486</v>
      </c>
      <c r="E16" s="8" t="s">
        <v>4</v>
      </c>
      <c r="F16" s="8"/>
      <c r="G16" s="8" t="s">
        <v>48</v>
      </c>
      <c r="H16" s="8"/>
      <c r="I16" s="8" t="s">
        <v>104</v>
      </c>
      <c r="J16" s="8"/>
      <c r="K16" s="8"/>
      <c r="L16" s="8"/>
      <c r="M16" s="8" t="s">
        <v>105</v>
      </c>
      <c r="N16" s="8" t="s">
        <v>106</v>
      </c>
      <c r="O16" s="8"/>
      <c r="P16" s="8" t="s">
        <v>72</v>
      </c>
      <c r="Q16" s="8" t="s">
        <v>42</v>
      </c>
      <c r="R16" s="8" t="s">
        <v>47</v>
      </c>
      <c r="S16" s="8"/>
      <c r="T16" s="8" t="s">
        <v>48</v>
      </c>
      <c r="U16" s="8"/>
    </row>
    <row r="17" spans="1:21" x14ac:dyDescent="0.25">
      <c r="A17" s="7">
        <v>120</v>
      </c>
      <c r="B17" s="8" t="s">
        <v>107</v>
      </c>
      <c r="C17" s="8" t="s">
        <v>33</v>
      </c>
      <c r="D17" s="9">
        <v>39920</v>
      </c>
      <c r="E17" s="8" t="s">
        <v>4</v>
      </c>
      <c r="F17" s="8" t="s">
        <v>86</v>
      </c>
      <c r="G17" s="8" t="s">
        <v>48</v>
      </c>
      <c r="H17" s="8"/>
      <c r="I17" s="8" t="s">
        <v>108</v>
      </c>
      <c r="J17" s="8"/>
      <c r="K17" s="8"/>
      <c r="L17" s="8" t="s">
        <v>61</v>
      </c>
      <c r="M17" s="8" t="s">
        <v>109</v>
      </c>
      <c r="N17" s="8" t="s">
        <v>110</v>
      </c>
      <c r="O17" s="8"/>
      <c r="P17" s="8" t="s">
        <v>45</v>
      </c>
      <c r="Q17" s="8" t="s">
        <v>93</v>
      </c>
      <c r="R17" s="8" t="s">
        <v>47</v>
      </c>
      <c r="S17" s="8" t="s">
        <v>111</v>
      </c>
      <c r="T17" s="8" t="s">
        <v>48</v>
      </c>
      <c r="U17" s="8"/>
    </row>
    <row r="18" spans="1:21" x14ac:dyDescent="0.25">
      <c r="A18" s="7">
        <v>121</v>
      </c>
      <c r="B18" s="8" t="s">
        <v>1425</v>
      </c>
      <c r="C18" s="8" t="s">
        <v>33</v>
      </c>
      <c r="D18" s="9">
        <v>39731</v>
      </c>
      <c r="E18" s="8" t="s">
        <v>4</v>
      </c>
      <c r="F18" s="8" t="s">
        <v>1426</v>
      </c>
      <c r="G18" s="8" t="s">
        <v>48</v>
      </c>
      <c r="H18" s="8" t="s">
        <v>37</v>
      </c>
      <c r="I18" s="8" t="s">
        <v>112</v>
      </c>
      <c r="J18" s="8" t="s">
        <v>1427</v>
      </c>
      <c r="K18" s="8" t="s">
        <v>1428</v>
      </c>
      <c r="L18" s="8" t="s">
        <v>41</v>
      </c>
      <c r="M18" s="8" t="s">
        <v>113</v>
      </c>
      <c r="N18" s="8" t="s">
        <v>114</v>
      </c>
      <c r="O18" s="8" t="s">
        <v>37</v>
      </c>
      <c r="P18" s="8" t="s">
        <v>46</v>
      </c>
      <c r="Q18" s="8" t="s">
        <v>42</v>
      </c>
      <c r="R18" s="8" t="s">
        <v>47</v>
      </c>
      <c r="S18" s="8" t="s">
        <v>1429</v>
      </c>
      <c r="T18" s="8" t="s">
        <v>48</v>
      </c>
      <c r="U18" s="8" t="s">
        <v>37</v>
      </c>
    </row>
    <row r="19" spans="1:21" x14ac:dyDescent="0.25">
      <c r="A19" s="7">
        <v>122</v>
      </c>
      <c r="B19" s="8" t="s">
        <v>115</v>
      </c>
      <c r="C19" s="8" t="s">
        <v>33</v>
      </c>
      <c r="D19" s="9">
        <v>39702</v>
      </c>
      <c r="E19" s="8" t="s">
        <v>4</v>
      </c>
      <c r="F19" s="8" t="s">
        <v>86</v>
      </c>
      <c r="G19" s="8" t="s">
        <v>48</v>
      </c>
      <c r="H19" s="8"/>
      <c r="I19" s="8" t="s">
        <v>116</v>
      </c>
      <c r="J19" s="8" t="s">
        <v>117</v>
      </c>
      <c r="K19" s="8" t="s">
        <v>118</v>
      </c>
      <c r="L19" s="8"/>
      <c r="M19" s="8" t="s">
        <v>119</v>
      </c>
      <c r="N19" s="8" t="s">
        <v>110</v>
      </c>
      <c r="O19" s="8"/>
      <c r="P19" s="8" t="s">
        <v>55</v>
      </c>
      <c r="Q19" s="8" t="s">
        <v>42</v>
      </c>
      <c r="R19" s="8" t="s">
        <v>47</v>
      </c>
      <c r="S19" s="8" t="s">
        <v>120</v>
      </c>
      <c r="T19" s="8" t="s">
        <v>48</v>
      </c>
      <c r="U19" s="8"/>
    </row>
    <row r="20" spans="1:21" x14ac:dyDescent="0.25">
      <c r="A20" s="7">
        <v>123</v>
      </c>
      <c r="B20" s="8" t="s">
        <v>1430</v>
      </c>
      <c r="C20" s="8" t="s">
        <v>33</v>
      </c>
      <c r="D20" s="9">
        <v>39605</v>
      </c>
      <c r="E20" s="8" t="s">
        <v>4</v>
      </c>
      <c r="F20" s="8"/>
      <c r="G20" s="8" t="s">
        <v>48</v>
      </c>
      <c r="H20" s="8"/>
      <c r="I20" s="8" t="s">
        <v>121</v>
      </c>
      <c r="J20" s="8"/>
      <c r="K20" s="8"/>
      <c r="L20" s="8"/>
      <c r="M20" s="8" t="s">
        <v>122</v>
      </c>
      <c r="N20" s="8" t="s">
        <v>123</v>
      </c>
      <c r="O20" s="8" t="s">
        <v>124</v>
      </c>
      <c r="P20" s="8" t="s">
        <v>55</v>
      </c>
      <c r="Q20" s="8" t="s">
        <v>125</v>
      </c>
      <c r="R20" s="8" t="s">
        <v>47</v>
      </c>
      <c r="S20" s="8" t="s">
        <v>126</v>
      </c>
      <c r="T20" s="8" t="s">
        <v>48</v>
      </c>
      <c r="U20" s="8"/>
    </row>
    <row r="21" spans="1:21" x14ac:dyDescent="0.25">
      <c r="A21" s="7">
        <v>124</v>
      </c>
      <c r="B21" s="8" t="s">
        <v>1431</v>
      </c>
      <c r="C21" s="8" t="s">
        <v>33</v>
      </c>
      <c r="D21" s="9">
        <v>40055</v>
      </c>
      <c r="E21" s="8" t="s">
        <v>4</v>
      </c>
      <c r="F21" s="8"/>
      <c r="G21" s="8" t="s">
        <v>48</v>
      </c>
      <c r="H21" s="8"/>
      <c r="I21" s="8" t="s">
        <v>127</v>
      </c>
      <c r="J21" s="8"/>
      <c r="K21" s="8"/>
      <c r="L21" s="8"/>
      <c r="M21" s="8" t="s">
        <v>119</v>
      </c>
      <c r="N21" s="8" t="s">
        <v>110</v>
      </c>
      <c r="O21" s="8"/>
      <c r="P21" s="8" t="s">
        <v>45</v>
      </c>
      <c r="Q21" s="8" t="s">
        <v>93</v>
      </c>
      <c r="R21" s="8" t="s">
        <v>47</v>
      </c>
      <c r="S21" s="8"/>
      <c r="T21" s="8" t="s">
        <v>48</v>
      </c>
      <c r="U21" s="8"/>
    </row>
    <row r="22" spans="1:21" x14ac:dyDescent="0.25">
      <c r="A22" s="7">
        <v>125</v>
      </c>
      <c r="B22" s="8" t="s">
        <v>128</v>
      </c>
      <c r="C22" s="8" t="s">
        <v>33</v>
      </c>
      <c r="D22" s="9">
        <v>39896</v>
      </c>
      <c r="E22" s="8" t="s">
        <v>4</v>
      </c>
      <c r="F22" s="8"/>
      <c r="G22" s="8" t="s">
        <v>48</v>
      </c>
      <c r="H22" s="8"/>
      <c r="I22" s="8" t="s">
        <v>129</v>
      </c>
      <c r="J22" s="8"/>
      <c r="K22" s="8"/>
      <c r="L22" s="8"/>
      <c r="M22" s="8" t="s">
        <v>55</v>
      </c>
      <c r="N22" s="8" t="s">
        <v>130</v>
      </c>
      <c r="O22" s="8" t="s">
        <v>114</v>
      </c>
      <c r="P22" s="8"/>
      <c r="Q22" s="8"/>
      <c r="R22" s="8" t="s">
        <v>47</v>
      </c>
      <c r="S22" s="8" t="s">
        <v>131</v>
      </c>
      <c r="T22" s="8" t="s">
        <v>48</v>
      </c>
      <c r="U22" s="8"/>
    </row>
    <row r="23" spans="1:21" x14ac:dyDescent="0.25">
      <c r="A23" s="7">
        <v>126</v>
      </c>
      <c r="B23" s="8" t="s">
        <v>132</v>
      </c>
      <c r="C23" s="8" t="s">
        <v>33</v>
      </c>
      <c r="D23" s="9">
        <v>39882</v>
      </c>
      <c r="E23" s="8" t="s">
        <v>4</v>
      </c>
      <c r="F23" s="8" t="s">
        <v>133</v>
      </c>
      <c r="G23" s="8" t="s">
        <v>48</v>
      </c>
      <c r="H23" s="8"/>
      <c r="I23" s="8" t="s">
        <v>134</v>
      </c>
      <c r="J23" s="8"/>
      <c r="K23" s="8" t="s">
        <v>135</v>
      </c>
      <c r="L23" s="8" t="s">
        <v>136</v>
      </c>
      <c r="M23" s="8"/>
      <c r="N23" s="8" t="s">
        <v>137</v>
      </c>
      <c r="O23" s="8"/>
      <c r="P23" s="8"/>
      <c r="Q23" s="8"/>
      <c r="R23" s="8" t="s">
        <v>47</v>
      </c>
      <c r="S23" s="8" t="s">
        <v>138</v>
      </c>
      <c r="T23" s="8" t="s">
        <v>48</v>
      </c>
      <c r="U23" s="8"/>
    </row>
    <row r="24" spans="1:21" x14ac:dyDescent="0.25">
      <c r="A24" s="7">
        <v>127</v>
      </c>
      <c r="B24" s="8" t="s">
        <v>1254</v>
      </c>
      <c r="C24" s="8" t="s">
        <v>33</v>
      </c>
      <c r="D24" s="9">
        <v>39706</v>
      </c>
      <c r="E24" s="8" t="s">
        <v>4</v>
      </c>
      <c r="F24" s="8"/>
      <c r="G24" s="8" t="s">
        <v>48</v>
      </c>
      <c r="H24" s="8"/>
      <c r="I24" s="8" t="s">
        <v>139</v>
      </c>
      <c r="J24" s="8"/>
      <c r="K24" s="8"/>
      <c r="L24" s="8"/>
      <c r="M24" s="8" t="s">
        <v>69</v>
      </c>
      <c r="N24" s="8" t="s">
        <v>140</v>
      </c>
      <c r="O24" s="8" t="s">
        <v>106</v>
      </c>
      <c r="P24" s="8"/>
      <c r="Q24" s="8"/>
      <c r="R24" s="8" t="s">
        <v>47</v>
      </c>
      <c r="S24" s="8"/>
      <c r="T24" s="8" t="s">
        <v>48</v>
      </c>
      <c r="U24" s="8"/>
    </row>
    <row r="25" spans="1:21" x14ac:dyDescent="0.25">
      <c r="A25" s="7">
        <v>128</v>
      </c>
      <c r="B25" s="8" t="s">
        <v>141</v>
      </c>
      <c r="C25" s="8" t="s">
        <v>33</v>
      </c>
      <c r="D25" s="9">
        <v>39640</v>
      </c>
      <c r="E25" s="8" t="s">
        <v>4</v>
      </c>
      <c r="F25" s="8"/>
      <c r="G25" s="8" t="s">
        <v>48</v>
      </c>
      <c r="H25" s="8"/>
      <c r="I25" s="8" t="s">
        <v>142</v>
      </c>
      <c r="J25" s="8"/>
      <c r="K25" s="8"/>
      <c r="L25" s="8"/>
      <c r="M25" s="8" t="s">
        <v>143</v>
      </c>
      <c r="N25" s="8" t="s">
        <v>144</v>
      </c>
      <c r="O25" s="8" t="s">
        <v>124</v>
      </c>
      <c r="P25" s="8" t="s">
        <v>72</v>
      </c>
      <c r="Q25" s="8"/>
      <c r="R25" s="8" t="s">
        <v>47</v>
      </c>
      <c r="S25" s="8"/>
      <c r="T25" s="8" t="s">
        <v>48</v>
      </c>
      <c r="U25" s="8"/>
    </row>
    <row r="26" spans="1:21" x14ac:dyDescent="0.25">
      <c r="A26" s="7">
        <v>129</v>
      </c>
      <c r="B26" s="8" t="s">
        <v>145</v>
      </c>
      <c r="C26" s="8" t="s">
        <v>33</v>
      </c>
      <c r="D26" s="9">
        <v>39684</v>
      </c>
      <c r="E26" s="8" t="s">
        <v>4</v>
      </c>
      <c r="F26" s="8"/>
      <c r="G26" s="8" t="s">
        <v>48</v>
      </c>
      <c r="H26" s="8"/>
      <c r="I26" s="8" t="s">
        <v>146</v>
      </c>
      <c r="J26" s="8"/>
      <c r="K26" s="8"/>
      <c r="L26" s="8"/>
      <c r="M26" s="8" t="s">
        <v>147</v>
      </c>
      <c r="N26" s="8" t="s">
        <v>130</v>
      </c>
      <c r="O26" s="8" t="s">
        <v>123</v>
      </c>
      <c r="P26" s="8" t="s">
        <v>55</v>
      </c>
      <c r="Q26" s="8"/>
      <c r="R26" s="8" t="s">
        <v>47</v>
      </c>
      <c r="S26" s="8" t="s">
        <v>148</v>
      </c>
      <c r="T26" s="8" t="s">
        <v>48</v>
      </c>
      <c r="U26" s="8"/>
    </row>
    <row r="27" spans="1:21" x14ac:dyDescent="0.25">
      <c r="A27" s="7">
        <v>130</v>
      </c>
      <c r="B27" s="8" t="s">
        <v>149</v>
      </c>
      <c r="C27" s="8" t="s">
        <v>33</v>
      </c>
      <c r="D27" s="9">
        <v>39773</v>
      </c>
      <c r="E27" s="8" t="s">
        <v>4</v>
      </c>
      <c r="F27" s="8" t="s">
        <v>86</v>
      </c>
      <c r="G27" s="8" t="s">
        <v>48</v>
      </c>
      <c r="H27" s="8"/>
      <c r="I27" s="8" t="s">
        <v>150</v>
      </c>
      <c r="J27" s="8" t="s">
        <v>151</v>
      </c>
      <c r="K27" s="8" t="s">
        <v>152</v>
      </c>
      <c r="L27" s="8" t="s">
        <v>153</v>
      </c>
      <c r="M27" s="8" t="s">
        <v>154</v>
      </c>
      <c r="N27" s="8" t="s">
        <v>123</v>
      </c>
      <c r="O27" s="8"/>
      <c r="P27" s="8" t="s">
        <v>46</v>
      </c>
      <c r="Q27" s="8" t="s">
        <v>143</v>
      </c>
      <c r="R27" s="8" t="s">
        <v>47</v>
      </c>
      <c r="S27" s="8" t="s">
        <v>155</v>
      </c>
      <c r="T27" s="8" t="s">
        <v>48</v>
      </c>
      <c r="U27" s="8"/>
    </row>
    <row r="28" spans="1:21" x14ac:dyDescent="0.25">
      <c r="A28" s="7">
        <v>131</v>
      </c>
      <c r="B28" s="8" t="s">
        <v>156</v>
      </c>
      <c r="C28" s="8" t="s">
        <v>33</v>
      </c>
      <c r="D28" s="9">
        <v>40266</v>
      </c>
      <c r="E28" s="8" t="s">
        <v>4</v>
      </c>
      <c r="F28" s="8"/>
      <c r="G28" s="8" t="s">
        <v>48</v>
      </c>
      <c r="H28" s="8"/>
      <c r="I28" s="8" t="s">
        <v>157</v>
      </c>
      <c r="J28" s="8"/>
      <c r="K28" s="8"/>
      <c r="L28" s="8"/>
      <c r="M28" s="8" t="s">
        <v>158</v>
      </c>
      <c r="N28" s="8" t="s">
        <v>159</v>
      </c>
      <c r="O28" s="8"/>
      <c r="P28" s="8"/>
      <c r="Q28" s="8"/>
      <c r="R28" s="8" t="s">
        <v>160</v>
      </c>
      <c r="S28" s="8"/>
      <c r="T28" s="8" t="s">
        <v>48</v>
      </c>
      <c r="U28" s="8"/>
    </row>
    <row r="29" spans="1:21" x14ac:dyDescent="0.25">
      <c r="A29" s="7">
        <v>132</v>
      </c>
      <c r="B29" s="8" t="s">
        <v>161</v>
      </c>
      <c r="C29" s="8" t="s">
        <v>33</v>
      </c>
      <c r="D29" s="9">
        <v>39717</v>
      </c>
      <c r="E29" s="8" t="s">
        <v>4</v>
      </c>
      <c r="F29" s="8"/>
      <c r="G29" s="8" t="s">
        <v>48</v>
      </c>
      <c r="H29" s="8"/>
      <c r="I29" s="8" t="s">
        <v>162</v>
      </c>
      <c r="J29" s="8"/>
      <c r="K29" s="8"/>
      <c r="L29" s="8"/>
      <c r="M29" s="8" t="s">
        <v>163</v>
      </c>
      <c r="N29" s="8" t="s">
        <v>124</v>
      </c>
      <c r="O29" s="8"/>
      <c r="P29" s="8" t="s">
        <v>143</v>
      </c>
      <c r="Q29" s="8" t="s">
        <v>122</v>
      </c>
      <c r="R29" s="8" t="s">
        <v>47</v>
      </c>
      <c r="S29" s="8" t="s">
        <v>164</v>
      </c>
      <c r="T29" s="8" t="s">
        <v>48</v>
      </c>
      <c r="U29" s="8"/>
    </row>
    <row r="30" spans="1:21" x14ac:dyDescent="0.25">
      <c r="A30" s="7">
        <v>133</v>
      </c>
      <c r="B30" s="8" t="s">
        <v>165</v>
      </c>
      <c r="C30" s="8" t="s">
        <v>33</v>
      </c>
      <c r="D30" s="9">
        <v>39777</v>
      </c>
      <c r="E30" s="8" t="s">
        <v>4</v>
      </c>
      <c r="F30" s="8" t="s">
        <v>166</v>
      </c>
      <c r="G30" s="8" t="s">
        <v>36</v>
      </c>
      <c r="H30" s="8"/>
      <c r="I30" s="8" t="s">
        <v>167</v>
      </c>
      <c r="J30" s="8" t="s">
        <v>168</v>
      </c>
      <c r="K30" s="8" t="s">
        <v>169</v>
      </c>
      <c r="L30" s="8" t="s">
        <v>41</v>
      </c>
      <c r="M30" s="8" t="s">
        <v>170</v>
      </c>
      <c r="N30" s="8" t="s">
        <v>171</v>
      </c>
      <c r="O30" s="8" t="s">
        <v>82</v>
      </c>
      <c r="P30" s="8" t="s">
        <v>46</v>
      </c>
      <c r="Q30" s="8" t="s">
        <v>83</v>
      </c>
      <c r="R30" s="8" t="s">
        <v>47</v>
      </c>
      <c r="S30" s="8" t="s">
        <v>172</v>
      </c>
      <c r="T30" s="8" t="s">
        <v>48</v>
      </c>
      <c r="U30" s="8"/>
    </row>
    <row r="31" spans="1:21" x14ac:dyDescent="0.25">
      <c r="A31" s="7">
        <v>134</v>
      </c>
      <c r="B31" s="8" t="s">
        <v>173</v>
      </c>
      <c r="C31" s="8" t="s">
        <v>33</v>
      </c>
      <c r="D31" s="9">
        <v>40068</v>
      </c>
      <c r="E31" s="8" t="s">
        <v>4</v>
      </c>
      <c r="F31" s="8"/>
      <c r="G31" s="8" t="s">
        <v>48</v>
      </c>
      <c r="H31" s="8"/>
      <c r="I31" s="8" t="s">
        <v>174</v>
      </c>
      <c r="J31" s="8"/>
      <c r="K31" s="8"/>
      <c r="L31" s="8"/>
      <c r="M31" s="8" t="s">
        <v>175</v>
      </c>
      <c r="N31" s="8" t="s">
        <v>176</v>
      </c>
      <c r="O31" s="8"/>
      <c r="P31" s="8" t="s">
        <v>55</v>
      </c>
      <c r="Q31" s="8" t="s">
        <v>55</v>
      </c>
      <c r="R31" s="8" t="s">
        <v>47</v>
      </c>
      <c r="S31" s="8" t="s">
        <v>177</v>
      </c>
      <c r="T31" s="8" t="s">
        <v>48</v>
      </c>
      <c r="U31" s="8"/>
    </row>
    <row r="32" spans="1:21" x14ac:dyDescent="0.25">
      <c r="A32" s="7">
        <v>135</v>
      </c>
      <c r="B32" s="8" t="s">
        <v>178</v>
      </c>
      <c r="C32" s="8" t="s">
        <v>33</v>
      </c>
      <c r="D32" s="9">
        <v>39985</v>
      </c>
      <c r="E32" s="8" t="s">
        <v>4</v>
      </c>
      <c r="F32" s="8"/>
      <c r="G32" s="8" t="s">
        <v>48</v>
      </c>
      <c r="H32" s="8"/>
      <c r="I32" s="8" t="s">
        <v>179</v>
      </c>
      <c r="J32" s="8"/>
      <c r="K32" s="8"/>
      <c r="L32" s="8"/>
      <c r="M32" s="8" t="s">
        <v>180</v>
      </c>
      <c r="N32" s="8" t="s">
        <v>181</v>
      </c>
      <c r="O32" s="8" t="s">
        <v>124</v>
      </c>
      <c r="P32" s="8" t="s">
        <v>45</v>
      </c>
      <c r="Q32" s="8" t="s">
        <v>42</v>
      </c>
      <c r="R32" s="8" t="s">
        <v>47</v>
      </c>
      <c r="S32" s="8"/>
      <c r="T32" s="8" t="s">
        <v>48</v>
      </c>
      <c r="U32" s="8"/>
    </row>
    <row r="33" spans="1:21" x14ac:dyDescent="0.25">
      <c r="A33" s="7">
        <v>136</v>
      </c>
      <c r="B33" s="8" t="s">
        <v>182</v>
      </c>
      <c r="C33" s="8" t="s">
        <v>33</v>
      </c>
      <c r="D33" s="9">
        <v>39614</v>
      </c>
      <c r="E33" s="8" t="s">
        <v>4</v>
      </c>
      <c r="F33" s="8"/>
      <c r="G33" s="8" t="s">
        <v>48</v>
      </c>
      <c r="H33" s="8"/>
      <c r="I33" s="8" t="s">
        <v>183</v>
      </c>
      <c r="J33" s="8"/>
      <c r="K33" s="8"/>
      <c r="L33" s="8"/>
      <c r="M33" s="8" t="s">
        <v>46</v>
      </c>
      <c r="N33" s="8" t="s">
        <v>184</v>
      </c>
      <c r="O33" s="8"/>
      <c r="P33" s="8"/>
      <c r="Q33" s="8"/>
      <c r="R33" s="8" t="s">
        <v>185</v>
      </c>
      <c r="S33" s="8"/>
      <c r="T33" s="8" t="s">
        <v>48</v>
      </c>
      <c r="U33" s="8"/>
    </row>
    <row r="34" spans="1:21" x14ac:dyDescent="0.25">
      <c r="A34" s="7">
        <v>137</v>
      </c>
      <c r="B34" s="8" t="s">
        <v>262</v>
      </c>
      <c r="C34" s="8" t="s">
        <v>33</v>
      </c>
      <c r="D34" s="9">
        <v>39820</v>
      </c>
      <c r="E34" s="8" t="s">
        <v>4</v>
      </c>
      <c r="F34" s="8" t="s">
        <v>263</v>
      </c>
      <c r="G34" s="8" t="s">
        <v>36</v>
      </c>
      <c r="H34" s="8"/>
      <c r="I34" s="8" t="s">
        <v>264</v>
      </c>
      <c r="J34" s="8" t="s">
        <v>265</v>
      </c>
      <c r="K34" s="8"/>
      <c r="L34" s="8" t="s">
        <v>136</v>
      </c>
      <c r="M34" s="8" t="s">
        <v>55</v>
      </c>
      <c r="N34" s="8" t="s">
        <v>110</v>
      </c>
      <c r="O34" s="8"/>
      <c r="P34" s="8" t="s">
        <v>51</v>
      </c>
      <c r="Q34" s="8" t="s">
        <v>266</v>
      </c>
      <c r="R34" s="8" t="s">
        <v>47</v>
      </c>
      <c r="S34" s="8" t="s">
        <v>267</v>
      </c>
      <c r="T34" s="8" t="s">
        <v>48</v>
      </c>
      <c r="U34" s="8"/>
    </row>
    <row r="35" spans="1:21" x14ac:dyDescent="0.25">
      <c r="A35" s="7">
        <v>138</v>
      </c>
      <c r="B35" s="8" t="s">
        <v>1432</v>
      </c>
      <c r="C35" s="8" t="s">
        <v>33</v>
      </c>
      <c r="D35" s="9">
        <v>39908</v>
      </c>
      <c r="E35" s="8" t="s">
        <v>4</v>
      </c>
      <c r="F35" s="8" t="s">
        <v>58</v>
      </c>
      <c r="G35" s="8" t="s">
        <v>36</v>
      </c>
      <c r="H35" s="8" t="s">
        <v>37</v>
      </c>
      <c r="I35" s="8" t="s">
        <v>1459</v>
      </c>
      <c r="J35" s="8" t="s">
        <v>351</v>
      </c>
      <c r="K35" s="8" t="s">
        <v>1460</v>
      </c>
      <c r="L35" s="8" t="s">
        <v>1461</v>
      </c>
      <c r="M35" s="8" t="s">
        <v>309</v>
      </c>
      <c r="N35" s="8" t="s">
        <v>110</v>
      </c>
      <c r="O35" s="8" t="s">
        <v>37</v>
      </c>
      <c r="P35" s="8" t="s">
        <v>278</v>
      </c>
      <c r="Q35" s="8" t="s">
        <v>293</v>
      </c>
      <c r="R35" s="8" t="s">
        <v>47</v>
      </c>
      <c r="S35" s="8" t="s">
        <v>352</v>
      </c>
      <c r="T35" s="8" t="s">
        <v>48</v>
      </c>
      <c r="U35" s="8" t="s">
        <v>1462</v>
      </c>
    </row>
    <row r="36" spans="1:21" x14ac:dyDescent="0.25">
      <c r="A36" s="7">
        <v>139</v>
      </c>
      <c r="B36" s="8" t="s">
        <v>1026</v>
      </c>
      <c r="C36" s="8" t="s">
        <v>33</v>
      </c>
      <c r="D36" s="9">
        <v>39823</v>
      </c>
      <c r="E36" s="8" t="s">
        <v>4</v>
      </c>
      <c r="F36" s="8" t="s">
        <v>1027</v>
      </c>
      <c r="G36" s="8" t="s">
        <v>48</v>
      </c>
      <c r="H36" s="8"/>
      <c r="I36" s="8" t="s">
        <v>1028</v>
      </c>
      <c r="J36" s="8"/>
      <c r="K36" s="8" t="s">
        <v>1029</v>
      </c>
      <c r="L36" s="8" t="s">
        <v>61</v>
      </c>
      <c r="M36" s="8" t="s">
        <v>1030</v>
      </c>
      <c r="N36" s="8" t="s">
        <v>124</v>
      </c>
      <c r="O36" s="8"/>
      <c r="P36" s="8" t="s">
        <v>65</v>
      </c>
      <c r="Q36" s="8" t="s">
        <v>581</v>
      </c>
      <c r="R36" s="8" t="s">
        <v>47</v>
      </c>
      <c r="S36" s="8" t="s">
        <v>1031</v>
      </c>
      <c r="T36" s="8" t="s">
        <v>48</v>
      </c>
      <c r="U36" s="8"/>
    </row>
    <row r="37" spans="1:21" x14ac:dyDescent="0.25">
      <c r="A37" s="7">
        <v>140</v>
      </c>
      <c r="B37" s="8" t="s">
        <v>436</v>
      </c>
      <c r="C37" s="8" t="s">
        <v>33</v>
      </c>
      <c r="D37" s="9">
        <v>39795</v>
      </c>
      <c r="E37" s="8" t="s">
        <v>4</v>
      </c>
      <c r="F37" s="8" t="s">
        <v>86</v>
      </c>
      <c r="G37" s="8" t="s">
        <v>36</v>
      </c>
      <c r="H37" s="8"/>
      <c r="I37" s="8" t="s">
        <v>1296</v>
      </c>
      <c r="J37" s="8" t="s">
        <v>437</v>
      </c>
      <c r="K37" s="8"/>
      <c r="L37" s="8"/>
      <c r="M37" s="8" t="s">
        <v>210</v>
      </c>
      <c r="N37" s="8" t="s">
        <v>242</v>
      </c>
      <c r="O37" s="8"/>
      <c r="P37" s="8" t="s">
        <v>93</v>
      </c>
      <c r="Q37" s="8"/>
      <c r="R37" s="8"/>
      <c r="S37" s="8" t="s">
        <v>438</v>
      </c>
      <c r="T37" s="8" t="s">
        <v>48</v>
      </c>
      <c r="U37" s="8"/>
    </row>
    <row r="38" spans="1:21" x14ac:dyDescent="0.25">
      <c r="A38" s="7">
        <v>141</v>
      </c>
      <c r="B38" s="8" t="s">
        <v>1297</v>
      </c>
      <c r="C38" s="8" t="s">
        <v>33</v>
      </c>
      <c r="D38" s="9">
        <v>39965</v>
      </c>
      <c r="E38" s="8" t="s">
        <v>4</v>
      </c>
      <c r="F38" s="8" t="s">
        <v>1298</v>
      </c>
      <c r="G38" s="8" t="s">
        <v>36</v>
      </c>
      <c r="H38" s="8"/>
      <c r="I38" s="8" t="s">
        <v>1299</v>
      </c>
      <c r="J38" s="8"/>
      <c r="K38" s="8" t="s">
        <v>1300</v>
      </c>
      <c r="L38" s="8"/>
      <c r="M38" s="8" t="s">
        <v>1301</v>
      </c>
      <c r="N38" s="8" t="s">
        <v>461</v>
      </c>
      <c r="O38" s="8"/>
      <c r="P38" s="8" t="s">
        <v>278</v>
      </c>
      <c r="Q38" s="8" t="s">
        <v>62</v>
      </c>
      <c r="R38" s="8" t="s">
        <v>47</v>
      </c>
      <c r="S38" s="8" t="s">
        <v>649</v>
      </c>
      <c r="T38" s="8" t="s">
        <v>48</v>
      </c>
      <c r="U38" s="8"/>
    </row>
    <row r="39" spans="1:21" x14ac:dyDescent="0.25">
      <c r="A39" s="7">
        <v>202</v>
      </c>
      <c r="B39" s="8" t="s">
        <v>565</v>
      </c>
      <c r="C39" s="8" t="s">
        <v>33</v>
      </c>
      <c r="D39" s="9">
        <v>28712</v>
      </c>
      <c r="E39" s="8" t="s">
        <v>34</v>
      </c>
      <c r="F39" s="8"/>
      <c r="G39" s="8" t="s">
        <v>48</v>
      </c>
      <c r="H39" s="8"/>
      <c r="I39" s="8" t="s">
        <v>566</v>
      </c>
      <c r="J39" s="8"/>
      <c r="K39" s="8"/>
      <c r="L39" s="8" t="s">
        <v>567</v>
      </c>
      <c r="M39" s="8" t="s">
        <v>568</v>
      </c>
      <c r="N39" s="8" t="s">
        <v>469</v>
      </c>
      <c r="O39" s="8" t="s">
        <v>106</v>
      </c>
      <c r="P39" s="8" t="s">
        <v>45</v>
      </c>
      <c r="Q39" s="8" t="s">
        <v>45</v>
      </c>
      <c r="R39" s="8"/>
      <c r="S39" s="8"/>
      <c r="T39" s="8" t="s">
        <v>48</v>
      </c>
      <c r="U39" s="8"/>
    </row>
    <row r="40" spans="1:21" x14ac:dyDescent="0.25">
      <c r="A40" s="7">
        <v>203</v>
      </c>
      <c r="B40" s="8" t="s">
        <v>535</v>
      </c>
      <c r="C40" s="8" t="s">
        <v>33</v>
      </c>
      <c r="D40" s="9">
        <v>32698</v>
      </c>
      <c r="E40" s="8" t="s">
        <v>34</v>
      </c>
      <c r="F40" s="8"/>
      <c r="G40" s="8" t="s">
        <v>48</v>
      </c>
      <c r="H40" s="8"/>
      <c r="I40" s="8" t="s">
        <v>536</v>
      </c>
      <c r="J40" s="8"/>
      <c r="K40" s="8"/>
      <c r="L40" s="8" t="s">
        <v>136</v>
      </c>
      <c r="M40" s="8" t="s">
        <v>65</v>
      </c>
      <c r="N40" s="8" t="s">
        <v>345</v>
      </c>
      <c r="O40" s="8" t="s">
        <v>124</v>
      </c>
      <c r="P40" s="8" t="s">
        <v>45</v>
      </c>
      <c r="Q40" s="8" t="s">
        <v>278</v>
      </c>
      <c r="R40" s="8" t="s">
        <v>47</v>
      </c>
      <c r="S40" s="8" t="s">
        <v>537</v>
      </c>
      <c r="T40" s="8" t="s">
        <v>48</v>
      </c>
      <c r="U40" s="8"/>
    </row>
    <row r="41" spans="1:21" x14ac:dyDescent="0.25">
      <c r="A41" s="7">
        <v>204</v>
      </c>
      <c r="B41" s="8" t="s">
        <v>1207</v>
      </c>
      <c r="C41" s="8" t="s">
        <v>33</v>
      </c>
      <c r="D41" s="9">
        <v>31147</v>
      </c>
      <c r="E41" s="8" t="s">
        <v>34</v>
      </c>
      <c r="F41" s="8"/>
      <c r="G41" s="8" t="s">
        <v>48</v>
      </c>
      <c r="H41" s="8"/>
      <c r="I41" s="8" t="s">
        <v>1208</v>
      </c>
      <c r="J41" s="8"/>
      <c r="K41" s="8"/>
      <c r="L41" s="8" t="s">
        <v>567</v>
      </c>
      <c r="M41" s="8" t="s">
        <v>1209</v>
      </c>
      <c r="N41" s="8" t="s">
        <v>1210</v>
      </c>
      <c r="O41" s="8"/>
      <c r="P41" s="8" t="s">
        <v>55</v>
      </c>
      <c r="Q41" s="8" t="s">
        <v>45</v>
      </c>
      <c r="R41" s="8" t="s">
        <v>1211</v>
      </c>
      <c r="S41" s="8" t="s">
        <v>1212</v>
      </c>
      <c r="T41" s="8" t="s">
        <v>48</v>
      </c>
      <c r="U41" s="8"/>
    </row>
    <row r="42" spans="1:21" x14ac:dyDescent="0.25">
      <c r="A42" s="7">
        <v>210</v>
      </c>
      <c r="B42" s="8" t="s">
        <v>186</v>
      </c>
      <c r="C42" s="8" t="s">
        <v>33</v>
      </c>
      <c r="D42" s="9">
        <v>39925</v>
      </c>
      <c r="E42" s="8" t="s">
        <v>5</v>
      </c>
      <c r="F42" s="8" t="s">
        <v>133</v>
      </c>
      <c r="G42" s="8" t="s">
        <v>48</v>
      </c>
      <c r="H42" s="8"/>
      <c r="I42" s="8" t="s">
        <v>187</v>
      </c>
      <c r="J42" s="8" t="s">
        <v>188</v>
      </c>
      <c r="K42" s="8" t="s">
        <v>189</v>
      </c>
      <c r="L42" s="8" t="s">
        <v>190</v>
      </c>
      <c r="M42" s="8" t="s">
        <v>46</v>
      </c>
      <c r="N42" s="8" t="s">
        <v>191</v>
      </c>
      <c r="O42" s="8" t="s">
        <v>64</v>
      </c>
      <c r="P42" s="8" t="s">
        <v>45</v>
      </c>
      <c r="Q42" s="8" t="s">
        <v>72</v>
      </c>
      <c r="R42" s="8" t="s">
        <v>47</v>
      </c>
      <c r="S42" s="8"/>
      <c r="T42" s="8" t="s">
        <v>48</v>
      </c>
      <c r="U42" s="8"/>
    </row>
    <row r="43" spans="1:21" x14ac:dyDescent="0.25">
      <c r="A43" s="7">
        <v>211</v>
      </c>
      <c r="B43" s="8" t="s">
        <v>192</v>
      </c>
      <c r="C43" s="8" t="s">
        <v>33</v>
      </c>
      <c r="D43" s="9">
        <v>40191</v>
      </c>
      <c r="E43" s="8" t="s">
        <v>5</v>
      </c>
      <c r="F43" s="8" t="s">
        <v>1302</v>
      </c>
      <c r="G43" s="8" t="s">
        <v>48</v>
      </c>
      <c r="H43" s="8"/>
      <c r="I43" s="8" t="s">
        <v>1303</v>
      </c>
      <c r="J43" s="8" t="s">
        <v>193</v>
      </c>
      <c r="K43" s="8" t="s">
        <v>1304</v>
      </c>
      <c r="L43" s="8" t="s">
        <v>61</v>
      </c>
      <c r="M43" s="8" t="s">
        <v>1305</v>
      </c>
      <c r="N43" s="8" t="s">
        <v>124</v>
      </c>
      <c r="O43" s="8"/>
      <c r="P43" s="8" t="s">
        <v>278</v>
      </c>
      <c r="Q43" s="8" t="s">
        <v>1306</v>
      </c>
      <c r="R43" s="8" t="s">
        <v>47</v>
      </c>
      <c r="S43" s="8" t="s">
        <v>1253</v>
      </c>
      <c r="T43" s="8" t="s">
        <v>48</v>
      </c>
      <c r="U43" s="8" t="s">
        <v>1307</v>
      </c>
    </row>
    <row r="44" spans="1:21" x14ac:dyDescent="0.25">
      <c r="A44" s="7">
        <v>212</v>
      </c>
      <c r="B44" s="8" t="s">
        <v>195</v>
      </c>
      <c r="C44" s="8" t="s">
        <v>33</v>
      </c>
      <c r="D44" s="9">
        <v>40011</v>
      </c>
      <c r="E44" s="8" t="s">
        <v>5</v>
      </c>
      <c r="F44" s="8"/>
      <c r="G44" s="8" t="s">
        <v>48</v>
      </c>
      <c r="H44" s="8"/>
      <c r="I44" s="8" t="s">
        <v>196</v>
      </c>
      <c r="J44" s="8"/>
      <c r="K44" s="8"/>
      <c r="L44" s="8"/>
      <c r="M44" s="8" t="s">
        <v>194</v>
      </c>
      <c r="N44" s="8" t="s">
        <v>71</v>
      </c>
      <c r="O44" s="8"/>
      <c r="P44" s="8"/>
      <c r="Q44" s="8"/>
      <c r="R44" s="8" t="s">
        <v>47</v>
      </c>
      <c r="S44" s="8"/>
      <c r="T44" s="8" t="s">
        <v>48</v>
      </c>
      <c r="U44" s="8"/>
    </row>
    <row r="45" spans="1:21" x14ac:dyDescent="0.25">
      <c r="A45" s="7">
        <v>214</v>
      </c>
      <c r="B45" s="8" t="s">
        <v>271</v>
      </c>
      <c r="C45" s="8" t="s">
        <v>33</v>
      </c>
      <c r="D45" s="9">
        <v>39920</v>
      </c>
      <c r="E45" s="8" t="s">
        <v>5</v>
      </c>
      <c r="F45" s="8" t="s">
        <v>86</v>
      </c>
      <c r="G45" s="8" t="s">
        <v>36</v>
      </c>
      <c r="H45" s="8"/>
      <c r="I45" s="8" t="s">
        <v>272</v>
      </c>
      <c r="J45" s="8" t="s">
        <v>108</v>
      </c>
      <c r="K45" s="8" t="s">
        <v>273</v>
      </c>
      <c r="L45" s="8" t="s">
        <v>41</v>
      </c>
      <c r="M45" s="8" t="s">
        <v>109</v>
      </c>
      <c r="N45" s="8" t="s">
        <v>110</v>
      </c>
      <c r="O45" s="8"/>
      <c r="P45" s="8" t="s">
        <v>45</v>
      </c>
      <c r="Q45" s="8" t="s">
        <v>93</v>
      </c>
      <c r="R45" s="8" t="s">
        <v>47</v>
      </c>
      <c r="S45" s="8" t="s">
        <v>274</v>
      </c>
      <c r="T45" s="8" t="s">
        <v>48</v>
      </c>
      <c r="U45" s="8"/>
    </row>
    <row r="46" spans="1:21" x14ac:dyDescent="0.25">
      <c r="A46" s="7">
        <v>215</v>
      </c>
      <c r="B46" s="8" t="s">
        <v>275</v>
      </c>
      <c r="C46" s="8" t="s">
        <v>33</v>
      </c>
      <c r="D46" s="9">
        <v>39883</v>
      </c>
      <c r="E46" s="8" t="s">
        <v>5</v>
      </c>
      <c r="F46" s="8"/>
      <c r="G46" s="8" t="s">
        <v>48</v>
      </c>
      <c r="H46" s="8"/>
      <c r="I46" s="8" t="s">
        <v>276</v>
      </c>
      <c r="J46" s="8"/>
      <c r="K46" s="8"/>
      <c r="L46" s="8"/>
      <c r="M46" s="8" t="s">
        <v>277</v>
      </c>
      <c r="N46" s="8" t="s">
        <v>123</v>
      </c>
      <c r="O46" s="8" t="s">
        <v>124</v>
      </c>
      <c r="P46" s="8" t="s">
        <v>278</v>
      </c>
      <c r="Q46" s="8" t="s">
        <v>221</v>
      </c>
      <c r="R46" s="8" t="s">
        <v>47</v>
      </c>
      <c r="S46" s="8"/>
      <c r="T46" s="8" t="s">
        <v>48</v>
      </c>
      <c r="U46" s="8"/>
    </row>
    <row r="47" spans="1:21" x14ac:dyDescent="0.25">
      <c r="A47" s="7">
        <v>216</v>
      </c>
      <c r="B47" s="8" t="s">
        <v>279</v>
      </c>
      <c r="C47" s="8" t="s">
        <v>33</v>
      </c>
      <c r="D47" s="9">
        <v>40048</v>
      </c>
      <c r="E47" s="8" t="s">
        <v>5</v>
      </c>
      <c r="F47" s="8"/>
      <c r="G47" s="8" t="s">
        <v>48</v>
      </c>
      <c r="H47" s="8"/>
      <c r="I47" s="8" t="s">
        <v>280</v>
      </c>
      <c r="J47" s="8"/>
      <c r="K47" s="8"/>
      <c r="L47" s="8"/>
      <c r="M47" s="8" t="s">
        <v>281</v>
      </c>
      <c r="N47" s="8" t="s">
        <v>110</v>
      </c>
      <c r="O47" s="8"/>
      <c r="P47" s="8"/>
      <c r="Q47" s="8"/>
      <c r="R47" s="8" t="s">
        <v>47</v>
      </c>
      <c r="S47" s="8"/>
      <c r="T47" s="8" t="s">
        <v>48</v>
      </c>
      <c r="U47" s="8"/>
    </row>
    <row r="48" spans="1:21" x14ac:dyDescent="0.25">
      <c r="A48" s="7">
        <v>217</v>
      </c>
      <c r="B48" s="8" t="s">
        <v>282</v>
      </c>
      <c r="C48" s="8" t="s">
        <v>33</v>
      </c>
      <c r="D48" s="9">
        <v>39737</v>
      </c>
      <c r="E48" s="8" t="s">
        <v>5</v>
      </c>
      <c r="F48" s="8"/>
      <c r="G48" s="8" t="s">
        <v>48</v>
      </c>
      <c r="H48" s="8"/>
      <c r="I48" s="8" t="s">
        <v>283</v>
      </c>
      <c r="J48" s="8"/>
      <c r="K48" s="8"/>
      <c r="L48" s="8"/>
      <c r="M48" s="8" t="s">
        <v>278</v>
      </c>
      <c r="N48" s="8" t="s">
        <v>63</v>
      </c>
      <c r="O48" s="8" t="s">
        <v>64</v>
      </c>
      <c r="P48" s="8" t="s">
        <v>55</v>
      </c>
      <c r="Q48" s="8" t="s">
        <v>277</v>
      </c>
      <c r="R48" s="8" t="s">
        <v>47</v>
      </c>
      <c r="S48" s="8"/>
      <c r="T48" s="8" t="s">
        <v>48</v>
      </c>
      <c r="U48" s="8"/>
    </row>
    <row r="49" spans="1:21" x14ac:dyDescent="0.25">
      <c r="A49" s="7">
        <v>218</v>
      </c>
      <c r="B49" s="8" t="s">
        <v>284</v>
      </c>
      <c r="C49" s="8" t="s">
        <v>33</v>
      </c>
      <c r="D49" s="9">
        <v>39581</v>
      </c>
      <c r="E49" s="8" t="s">
        <v>5</v>
      </c>
      <c r="F49" s="8" t="s">
        <v>285</v>
      </c>
      <c r="G49" s="8" t="s">
        <v>48</v>
      </c>
      <c r="H49" s="8"/>
      <c r="I49" s="8" t="s">
        <v>286</v>
      </c>
      <c r="J49" s="8" t="s">
        <v>287</v>
      </c>
      <c r="K49" s="8"/>
      <c r="L49" s="8" t="s">
        <v>238</v>
      </c>
      <c r="M49" s="8" t="s">
        <v>288</v>
      </c>
      <c r="N49" s="8" t="s">
        <v>242</v>
      </c>
      <c r="O49" s="8" t="s">
        <v>124</v>
      </c>
      <c r="P49" s="8" t="s">
        <v>239</v>
      </c>
      <c r="Q49" s="8" t="s">
        <v>289</v>
      </c>
      <c r="R49" s="8" t="s">
        <v>47</v>
      </c>
      <c r="S49" s="8" t="s">
        <v>290</v>
      </c>
      <c r="T49" s="8" t="s">
        <v>48</v>
      </c>
      <c r="U49" s="8"/>
    </row>
    <row r="50" spans="1:21" x14ac:dyDescent="0.25">
      <c r="A50" s="7">
        <v>219</v>
      </c>
      <c r="B50" s="8" t="s">
        <v>291</v>
      </c>
      <c r="C50" s="8" t="s">
        <v>33</v>
      </c>
      <c r="D50" s="9">
        <v>39543</v>
      </c>
      <c r="E50" s="8" t="s">
        <v>5</v>
      </c>
      <c r="F50" s="8"/>
      <c r="G50" s="8" t="s">
        <v>48</v>
      </c>
      <c r="H50" s="8"/>
      <c r="I50" s="8" t="s">
        <v>292</v>
      </c>
      <c r="J50" s="8"/>
      <c r="K50" s="8"/>
      <c r="L50" s="8"/>
      <c r="M50" s="8" t="s">
        <v>293</v>
      </c>
      <c r="N50" s="8" t="s">
        <v>110</v>
      </c>
      <c r="O50" s="8"/>
      <c r="P50" s="8" t="s">
        <v>72</v>
      </c>
      <c r="Q50" s="8"/>
      <c r="R50" s="8" t="s">
        <v>47</v>
      </c>
      <c r="S50" s="8" t="s">
        <v>294</v>
      </c>
      <c r="T50" s="8" t="s">
        <v>48</v>
      </c>
      <c r="U50" s="8"/>
    </row>
    <row r="51" spans="1:21" x14ac:dyDescent="0.25">
      <c r="A51" s="7">
        <v>220</v>
      </c>
      <c r="B51" s="8" t="s">
        <v>295</v>
      </c>
      <c r="C51" s="8" t="s">
        <v>33</v>
      </c>
      <c r="D51" s="9">
        <v>39722</v>
      </c>
      <c r="E51" s="8" t="s">
        <v>5</v>
      </c>
      <c r="F51" s="8"/>
      <c r="G51" s="8" t="s">
        <v>48</v>
      </c>
      <c r="H51" s="8"/>
      <c r="I51" s="8" t="s">
        <v>296</v>
      </c>
      <c r="J51" s="8"/>
      <c r="K51" s="8"/>
      <c r="L51" s="8"/>
      <c r="M51" s="8"/>
      <c r="N51" s="8" t="s">
        <v>297</v>
      </c>
      <c r="O51" s="8"/>
      <c r="P51" s="8"/>
      <c r="Q51" s="8"/>
      <c r="R51" s="8" t="s">
        <v>47</v>
      </c>
      <c r="S51" s="8"/>
      <c r="T51" s="8" t="s">
        <v>48</v>
      </c>
      <c r="U51" s="8"/>
    </row>
    <row r="52" spans="1:21" x14ac:dyDescent="0.25">
      <c r="A52" s="7">
        <v>221</v>
      </c>
      <c r="B52" s="8" t="s">
        <v>1433</v>
      </c>
      <c r="C52" s="8" t="s">
        <v>33</v>
      </c>
      <c r="D52" s="9">
        <v>39686</v>
      </c>
      <c r="E52" s="8" t="s">
        <v>5</v>
      </c>
      <c r="F52" s="8"/>
      <c r="G52" s="8" t="s">
        <v>48</v>
      </c>
      <c r="H52" s="8"/>
      <c r="I52" s="8" t="s">
        <v>298</v>
      </c>
      <c r="J52" s="8"/>
      <c r="K52" s="8"/>
      <c r="L52" s="8"/>
      <c r="M52" s="8" t="s">
        <v>278</v>
      </c>
      <c r="N52" s="8" t="s">
        <v>299</v>
      </c>
      <c r="O52" s="8"/>
      <c r="P52" s="8"/>
      <c r="Q52" s="8"/>
      <c r="R52" s="8" t="s">
        <v>98</v>
      </c>
      <c r="S52" s="8"/>
      <c r="T52" s="8" t="s">
        <v>48</v>
      </c>
      <c r="U52" s="8"/>
    </row>
    <row r="53" spans="1:21" x14ac:dyDescent="0.25">
      <c r="A53" s="7">
        <v>222</v>
      </c>
      <c r="B53" s="8" t="s">
        <v>300</v>
      </c>
      <c r="C53" s="8" t="s">
        <v>33</v>
      </c>
      <c r="D53" s="9">
        <v>39491</v>
      </c>
      <c r="E53" s="8" t="s">
        <v>5</v>
      </c>
      <c r="F53" s="8"/>
      <c r="G53" s="8" t="s">
        <v>48</v>
      </c>
      <c r="H53" s="8"/>
      <c r="I53" s="8" t="s">
        <v>301</v>
      </c>
      <c r="J53" s="8"/>
      <c r="K53" s="8"/>
      <c r="L53" s="8"/>
      <c r="M53" s="8" t="s">
        <v>302</v>
      </c>
      <c r="N53" s="8" t="s">
        <v>176</v>
      </c>
      <c r="O53" s="8"/>
      <c r="P53" s="8"/>
      <c r="Q53" s="8"/>
      <c r="R53" s="8" t="s">
        <v>47</v>
      </c>
      <c r="S53" s="8"/>
      <c r="T53" s="8" t="s">
        <v>48</v>
      </c>
      <c r="U53" s="8"/>
    </row>
    <row r="54" spans="1:21" x14ac:dyDescent="0.25">
      <c r="A54" s="7">
        <v>223</v>
      </c>
      <c r="B54" s="8" t="s">
        <v>303</v>
      </c>
      <c r="C54" s="8" t="s">
        <v>33</v>
      </c>
      <c r="D54" s="9">
        <v>39650</v>
      </c>
      <c r="E54" s="8" t="s">
        <v>5</v>
      </c>
      <c r="F54" s="8"/>
      <c r="G54" s="8" t="s">
        <v>48</v>
      </c>
      <c r="H54" s="8"/>
      <c r="I54" s="8" t="s">
        <v>304</v>
      </c>
      <c r="J54" s="8"/>
      <c r="K54" s="8"/>
      <c r="L54" s="8"/>
      <c r="M54" s="8" t="s">
        <v>305</v>
      </c>
      <c r="N54" s="8" t="s">
        <v>124</v>
      </c>
      <c r="O54" s="8"/>
      <c r="P54" s="8" t="s">
        <v>62</v>
      </c>
      <c r="Q54" s="8" t="s">
        <v>306</v>
      </c>
      <c r="R54" s="8" t="s">
        <v>47</v>
      </c>
      <c r="S54" s="8" t="s">
        <v>307</v>
      </c>
      <c r="T54" s="8" t="s">
        <v>48</v>
      </c>
      <c r="U54" s="8"/>
    </row>
    <row r="55" spans="1:21" x14ac:dyDescent="0.25">
      <c r="A55" s="7">
        <v>224</v>
      </c>
      <c r="B55" s="8" t="s">
        <v>1434</v>
      </c>
      <c r="C55" s="8" t="s">
        <v>33</v>
      </c>
      <c r="D55" s="9">
        <v>39687</v>
      </c>
      <c r="E55" s="8" t="s">
        <v>5</v>
      </c>
      <c r="F55" s="8"/>
      <c r="G55" s="8" t="s">
        <v>48</v>
      </c>
      <c r="H55" s="8"/>
      <c r="I55" s="8" t="s">
        <v>308</v>
      </c>
      <c r="J55" s="8"/>
      <c r="K55" s="8"/>
      <c r="L55" s="8"/>
      <c r="M55" s="8" t="s">
        <v>309</v>
      </c>
      <c r="N55" s="8" t="s">
        <v>63</v>
      </c>
      <c r="O55" s="8" t="s">
        <v>64</v>
      </c>
      <c r="P55" s="8" t="s">
        <v>55</v>
      </c>
      <c r="Q55" s="8" t="s">
        <v>65</v>
      </c>
      <c r="R55" s="8" t="s">
        <v>47</v>
      </c>
      <c r="S55" s="8" t="s">
        <v>310</v>
      </c>
      <c r="T55" s="8" t="s">
        <v>48</v>
      </c>
      <c r="U55" s="8"/>
    </row>
    <row r="56" spans="1:21" x14ac:dyDescent="0.25">
      <c r="A56" s="7">
        <v>225</v>
      </c>
      <c r="B56" s="8" t="s">
        <v>311</v>
      </c>
      <c r="C56" s="8" t="s">
        <v>33</v>
      </c>
      <c r="D56" s="9">
        <v>39354</v>
      </c>
      <c r="E56" s="8" t="s">
        <v>5</v>
      </c>
      <c r="F56" s="8" t="s">
        <v>312</v>
      </c>
      <c r="G56" s="8" t="s">
        <v>48</v>
      </c>
      <c r="H56" s="8"/>
      <c r="I56" s="8" t="s">
        <v>313</v>
      </c>
      <c r="J56" s="8" t="s">
        <v>314</v>
      </c>
      <c r="K56" s="8" t="s">
        <v>315</v>
      </c>
      <c r="L56" s="8"/>
      <c r="M56" s="8" t="s">
        <v>55</v>
      </c>
      <c r="N56" s="8" t="s">
        <v>316</v>
      </c>
      <c r="O56" s="8" t="s">
        <v>317</v>
      </c>
      <c r="P56" s="8" t="s">
        <v>93</v>
      </c>
      <c r="Q56" s="8"/>
      <c r="R56" s="8" t="s">
        <v>318</v>
      </c>
      <c r="S56" s="8"/>
      <c r="T56" s="8" t="s">
        <v>48</v>
      </c>
      <c r="U56" s="8"/>
    </row>
    <row r="57" spans="1:21" x14ac:dyDescent="0.25">
      <c r="A57" s="7">
        <v>226</v>
      </c>
      <c r="B57" s="8" t="s">
        <v>319</v>
      </c>
      <c r="C57" s="8" t="s">
        <v>33</v>
      </c>
      <c r="D57" s="9">
        <v>39092</v>
      </c>
      <c r="E57" s="8" t="s">
        <v>5</v>
      </c>
      <c r="F57" s="8"/>
      <c r="G57" s="8" t="s">
        <v>48</v>
      </c>
      <c r="H57" s="8"/>
      <c r="I57" s="8" t="s">
        <v>320</v>
      </c>
      <c r="J57" s="8"/>
      <c r="K57" s="8"/>
      <c r="L57" s="8"/>
      <c r="M57" s="8" t="s">
        <v>321</v>
      </c>
      <c r="N57" s="8" t="s">
        <v>242</v>
      </c>
      <c r="O57" s="8" t="s">
        <v>124</v>
      </c>
      <c r="P57" s="8" t="s">
        <v>51</v>
      </c>
      <c r="Q57" s="8" t="s">
        <v>83</v>
      </c>
      <c r="R57" s="8" t="s">
        <v>47</v>
      </c>
      <c r="S57" s="8"/>
      <c r="T57" s="8" t="s">
        <v>48</v>
      </c>
      <c r="U57" s="8"/>
    </row>
    <row r="58" spans="1:21" x14ac:dyDescent="0.25">
      <c r="A58" s="7">
        <v>227</v>
      </c>
      <c r="B58" s="8" t="s">
        <v>322</v>
      </c>
      <c r="C58" s="8" t="s">
        <v>33</v>
      </c>
      <c r="D58" s="9">
        <v>39994</v>
      </c>
      <c r="E58" s="8" t="s">
        <v>5</v>
      </c>
      <c r="F58" s="8"/>
      <c r="G58" s="8" t="s">
        <v>48</v>
      </c>
      <c r="H58" s="8"/>
      <c r="I58" s="8" t="s">
        <v>323</v>
      </c>
      <c r="J58" s="8"/>
      <c r="K58" s="8"/>
      <c r="L58" s="8"/>
      <c r="M58" s="8" t="s">
        <v>239</v>
      </c>
      <c r="N58" s="8" t="s">
        <v>324</v>
      </c>
      <c r="O58" s="8" t="s">
        <v>44</v>
      </c>
      <c r="P58" s="8" t="s">
        <v>93</v>
      </c>
      <c r="Q58" s="8" t="s">
        <v>72</v>
      </c>
      <c r="R58" s="8" t="s">
        <v>47</v>
      </c>
      <c r="S58" s="8" t="s">
        <v>325</v>
      </c>
      <c r="T58" s="8" t="s">
        <v>48</v>
      </c>
      <c r="U58" s="8"/>
    </row>
    <row r="59" spans="1:21" x14ac:dyDescent="0.25">
      <c r="A59" s="7">
        <v>228</v>
      </c>
      <c r="B59" s="8" t="s">
        <v>326</v>
      </c>
      <c r="C59" s="8" t="s">
        <v>33</v>
      </c>
      <c r="D59" s="9">
        <v>39884</v>
      </c>
      <c r="E59" s="8" t="s">
        <v>5</v>
      </c>
      <c r="F59" s="8"/>
      <c r="G59" s="8" t="s">
        <v>48</v>
      </c>
      <c r="H59" s="8"/>
      <c r="I59" s="8" t="s">
        <v>327</v>
      </c>
      <c r="J59" s="8"/>
      <c r="K59" s="8"/>
      <c r="L59" s="8"/>
      <c r="M59" s="8"/>
      <c r="N59" s="8" t="s">
        <v>328</v>
      </c>
      <c r="O59" s="8" t="s">
        <v>44</v>
      </c>
      <c r="P59" s="8"/>
      <c r="Q59" s="8"/>
      <c r="R59" s="8" t="s">
        <v>47</v>
      </c>
      <c r="S59" s="8" t="s">
        <v>329</v>
      </c>
      <c r="T59" s="8" t="s">
        <v>48</v>
      </c>
      <c r="U59" s="8"/>
    </row>
    <row r="60" spans="1:21" x14ac:dyDescent="0.25">
      <c r="A60" s="7">
        <v>229</v>
      </c>
      <c r="B60" s="8" t="s">
        <v>1308</v>
      </c>
      <c r="C60" s="8" t="s">
        <v>33</v>
      </c>
      <c r="D60" s="9">
        <v>39741</v>
      </c>
      <c r="E60" s="8" t="s">
        <v>5</v>
      </c>
      <c r="F60" s="8" t="s">
        <v>330</v>
      </c>
      <c r="G60" s="8" t="s">
        <v>48</v>
      </c>
      <c r="H60" s="8"/>
      <c r="I60" s="8" t="s">
        <v>331</v>
      </c>
      <c r="J60" s="8" t="s">
        <v>332</v>
      </c>
      <c r="K60" s="8" t="s">
        <v>333</v>
      </c>
      <c r="L60" s="8" t="s">
        <v>61</v>
      </c>
      <c r="M60" s="8" t="s">
        <v>72</v>
      </c>
      <c r="N60" s="8" t="s">
        <v>334</v>
      </c>
      <c r="O60" s="8" t="s">
        <v>335</v>
      </c>
      <c r="P60" s="8" t="s">
        <v>45</v>
      </c>
      <c r="Q60" s="8" t="s">
        <v>72</v>
      </c>
      <c r="R60" s="8" t="s">
        <v>336</v>
      </c>
      <c r="S60" s="8" t="s">
        <v>337</v>
      </c>
      <c r="T60" s="8" t="s">
        <v>48</v>
      </c>
      <c r="U60" s="8"/>
    </row>
    <row r="61" spans="1:21" x14ac:dyDescent="0.25">
      <c r="A61" s="7">
        <v>230</v>
      </c>
      <c r="B61" s="8" t="s">
        <v>338</v>
      </c>
      <c r="C61" s="8" t="s">
        <v>33</v>
      </c>
      <c r="D61" s="9">
        <v>40029</v>
      </c>
      <c r="E61" s="8" t="s">
        <v>5</v>
      </c>
      <c r="F61" s="8"/>
      <c r="G61" s="8" t="s">
        <v>48</v>
      </c>
      <c r="H61" s="8"/>
      <c r="I61" s="8" t="s">
        <v>339</v>
      </c>
      <c r="J61" s="8"/>
      <c r="K61" s="8"/>
      <c r="L61" s="8"/>
      <c r="M61" s="8" t="s">
        <v>340</v>
      </c>
      <c r="N61" s="8" t="s">
        <v>341</v>
      </c>
      <c r="O61" s="8"/>
      <c r="P61" s="8" t="s">
        <v>46</v>
      </c>
      <c r="Q61" s="8" t="s">
        <v>69</v>
      </c>
      <c r="R61" s="8" t="s">
        <v>336</v>
      </c>
      <c r="S61" s="8" t="s">
        <v>342</v>
      </c>
      <c r="T61" s="8" t="s">
        <v>48</v>
      </c>
      <c r="U61" s="8"/>
    </row>
    <row r="62" spans="1:21" x14ac:dyDescent="0.25">
      <c r="A62" s="7">
        <v>231</v>
      </c>
      <c r="B62" s="8" t="s">
        <v>343</v>
      </c>
      <c r="C62" s="8" t="s">
        <v>33</v>
      </c>
      <c r="D62" s="9">
        <v>39731</v>
      </c>
      <c r="E62" s="8" t="s">
        <v>5</v>
      </c>
      <c r="F62" s="8"/>
      <c r="G62" s="8" t="s">
        <v>48</v>
      </c>
      <c r="H62" s="8"/>
      <c r="I62" s="8" t="s">
        <v>344</v>
      </c>
      <c r="J62" s="8"/>
      <c r="K62" s="8"/>
      <c r="L62" s="8"/>
      <c r="M62" s="8" t="s">
        <v>278</v>
      </c>
      <c r="N62" s="8" t="s">
        <v>345</v>
      </c>
      <c r="O62" s="8" t="s">
        <v>124</v>
      </c>
      <c r="P62" s="8"/>
      <c r="Q62" s="8"/>
      <c r="R62" s="8" t="s">
        <v>47</v>
      </c>
      <c r="S62" s="8"/>
      <c r="T62" s="8" t="s">
        <v>48</v>
      </c>
      <c r="U62" s="8"/>
    </row>
    <row r="63" spans="1:21" x14ac:dyDescent="0.25">
      <c r="A63" s="7">
        <v>232</v>
      </c>
      <c r="B63" s="8" t="s">
        <v>346</v>
      </c>
      <c r="C63" s="8" t="s">
        <v>33</v>
      </c>
      <c r="D63" s="9">
        <v>39569</v>
      </c>
      <c r="E63" s="8" t="s">
        <v>5</v>
      </c>
      <c r="F63" s="8" t="s">
        <v>166</v>
      </c>
      <c r="G63" s="8" t="s">
        <v>48</v>
      </c>
      <c r="H63" s="8"/>
      <c r="I63" s="8" t="s">
        <v>347</v>
      </c>
      <c r="J63" s="8" t="s">
        <v>348</v>
      </c>
      <c r="K63" s="8" t="s">
        <v>349</v>
      </c>
      <c r="L63" s="8" t="s">
        <v>61</v>
      </c>
      <c r="M63" s="8" t="s">
        <v>69</v>
      </c>
      <c r="N63" s="8" t="s">
        <v>110</v>
      </c>
      <c r="O63" s="8"/>
      <c r="P63" s="8" t="s">
        <v>45</v>
      </c>
      <c r="Q63" s="8" t="s">
        <v>55</v>
      </c>
      <c r="R63" s="8" t="s">
        <v>47</v>
      </c>
      <c r="S63" s="8" t="s">
        <v>350</v>
      </c>
      <c r="T63" s="8" t="s">
        <v>48</v>
      </c>
      <c r="U63" s="8"/>
    </row>
    <row r="64" spans="1:21" x14ac:dyDescent="0.25">
      <c r="A64" s="7">
        <v>234</v>
      </c>
      <c r="B64" s="8" t="s">
        <v>353</v>
      </c>
      <c r="C64" s="8" t="s">
        <v>33</v>
      </c>
      <c r="D64" s="9">
        <v>40008</v>
      </c>
      <c r="E64" s="8" t="s">
        <v>5</v>
      </c>
      <c r="F64" s="8" t="s">
        <v>354</v>
      </c>
      <c r="G64" s="8" t="s">
        <v>48</v>
      </c>
      <c r="H64" s="8"/>
      <c r="I64" s="8" t="s">
        <v>355</v>
      </c>
      <c r="J64" s="8" t="s">
        <v>356</v>
      </c>
      <c r="K64" s="8" t="s">
        <v>357</v>
      </c>
      <c r="L64" s="8"/>
      <c r="M64" s="8" t="s">
        <v>358</v>
      </c>
      <c r="N64" s="8" t="s">
        <v>359</v>
      </c>
      <c r="O64" s="8"/>
      <c r="P64" s="8" t="s">
        <v>119</v>
      </c>
      <c r="Q64" s="8"/>
      <c r="R64" s="8" t="s">
        <v>47</v>
      </c>
      <c r="S64" s="8"/>
      <c r="T64" s="8" t="s">
        <v>48</v>
      </c>
      <c r="U64" s="8"/>
    </row>
    <row r="65" spans="1:21" x14ac:dyDescent="0.25">
      <c r="A65" s="7">
        <v>235</v>
      </c>
      <c r="B65" s="8" t="s">
        <v>360</v>
      </c>
      <c r="C65" s="8" t="s">
        <v>33</v>
      </c>
      <c r="D65" s="9">
        <v>39826</v>
      </c>
      <c r="E65" s="8" t="s">
        <v>5</v>
      </c>
      <c r="F65" s="8"/>
      <c r="G65" s="8" t="s">
        <v>48</v>
      </c>
      <c r="H65" s="8"/>
      <c r="I65" s="8" t="s">
        <v>361</v>
      </c>
      <c r="J65" s="8"/>
      <c r="K65" s="8"/>
      <c r="L65" s="8"/>
      <c r="M65" s="8" t="s">
        <v>362</v>
      </c>
      <c r="N65" s="8" t="s">
        <v>64</v>
      </c>
      <c r="O65" s="8"/>
      <c r="P65" s="8" t="s">
        <v>72</v>
      </c>
      <c r="Q65" s="8" t="s">
        <v>42</v>
      </c>
      <c r="R65" s="8" t="s">
        <v>47</v>
      </c>
      <c r="S65" s="8" t="s">
        <v>363</v>
      </c>
      <c r="T65" s="8" t="s">
        <v>48</v>
      </c>
      <c r="U65" s="8"/>
    </row>
    <row r="66" spans="1:21" x14ac:dyDescent="0.25">
      <c r="A66" s="7">
        <v>236</v>
      </c>
      <c r="B66" s="8" t="s">
        <v>1309</v>
      </c>
      <c r="C66" s="8" t="s">
        <v>33</v>
      </c>
      <c r="D66" s="9">
        <v>40095</v>
      </c>
      <c r="E66" s="8" t="s">
        <v>5</v>
      </c>
      <c r="F66" s="8" t="s">
        <v>312</v>
      </c>
      <c r="G66" s="8" t="s">
        <v>36</v>
      </c>
      <c r="H66" s="8"/>
      <c r="I66" s="8" t="s">
        <v>1310</v>
      </c>
      <c r="J66" s="8" t="s">
        <v>364</v>
      </c>
      <c r="K66" s="8" t="s">
        <v>1311</v>
      </c>
      <c r="L66" s="8" t="s">
        <v>61</v>
      </c>
      <c r="M66" s="8"/>
      <c r="N66" s="8" t="s">
        <v>123</v>
      </c>
      <c r="O66" s="8"/>
      <c r="P66" s="8" t="s">
        <v>46</v>
      </c>
      <c r="Q66" s="8"/>
      <c r="R66" s="8" t="s">
        <v>47</v>
      </c>
      <c r="S66" s="8" t="s">
        <v>1312</v>
      </c>
      <c r="T66" s="8" t="s">
        <v>48</v>
      </c>
      <c r="U66" s="8"/>
    </row>
    <row r="67" spans="1:21" x14ac:dyDescent="0.25">
      <c r="A67" s="7">
        <v>237</v>
      </c>
      <c r="B67" s="8" t="s">
        <v>365</v>
      </c>
      <c r="C67" s="8" t="s">
        <v>33</v>
      </c>
      <c r="D67" s="9">
        <v>39599</v>
      </c>
      <c r="E67" s="8" t="s">
        <v>5</v>
      </c>
      <c r="F67" s="8"/>
      <c r="G67" s="8" t="s">
        <v>48</v>
      </c>
      <c r="H67" s="8"/>
      <c r="I67" s="8" t="s">
        <v>366</v>
      </c>
      <c r="J67" s="8"/>
      <c r="K67" s="8"/>
      <c r="L67" s="8"/>
      <c r="M67" s="8" t="s">
        <v>55</v>
      </c>
      <c r="N67" s="8" t="s">
        <v>367</v>
      </c>
      <c r="O67" s="8" t="s">
        <v>124</v>
      </c>
      <c r="P67" s="8" t="s">
        <v>51</v>
      </c>
      <c r="Q67" s="8" t="s">
        <v>83</v>
      </c>
      <c r="R67" s="8" t="s">
        <v>47</v>
      </c>
      <c r="S67" s="8" t="s">
        <v>368</v>
      </c>
      <c r="T67" s="8" t="s">
        <v>48</v>
      </c>
      <c r="U67" s="8"/>
    </row>
    <row r="68" spans="1:21" x14ac:dyDescent="0.25">
      <c r="A68" s="7">
        <v>239</v>
      </c>
      <c r="B68" s="8" t="s">
        <v>372</v>
      </c>
      <c r="C68" s="8" t="s">
        <v>33</v>
      </c>
      <c r="D68" s="9">
        <v>39496</v>
      </c>
      <c r="E68" s="8" t="s">
        <v>5</v>
      </c>
      <c r="F68" s="8"/>
      <c r="G68" s="8" t="s">
        <v>48</v>
      </c>
      <c r="H68" s="8"/>
      <c r="I68" s="8" t="s">
        <v>373</v>
      </c>
      <c r="J68" s="8"/>
      <c r="K68" s="8"/>
      <c r="L68" s="8"/>
      <c r="M68" s="8" t="s">
        <v>72</v>
      </c>
      <c r="N68" s="8" t="s">
        <v>374</v>
      </c>
      <c r="O68" s="8"/>
      <c r="P68" s="8"/>
      <c r="Q68" s="8"/>
      <c r="R68" s="8" t="s">
        <v>47</v>
      </c>
      <c r="S68" s="8"/>
      <c r="T68" s="8" t="s">
        <v>48</v>
      </c>
      <c r="U68" s="8"/>
    </row>
    <row r="69" spans="1:21" x14ac:dyDescent="0.25">
      <c r="A69" s="7">
        <v>240</v>
      </c>
      <c r="B69" s="8" t="s">
        <v>375</v>
      </c>
      <c r="C69" s="8" t="s">
        <v>33</v>
      </c>
      <c r="D69" s="9">
        <v>40081</v>
      </c>
      <c r="E69" s="8" t="s">
        <v>5</v>
      </c>
      <c r="F69" s="8"/>
      <c r="G69" s="8" t="s">
        <v>48</v>
      </c>
      <c r="H69" s="8"/>
      <c r="I69" s="8" t="s">
        <v>376</v>
      </c>
      <c r="J69" s="8"/>
      <c r="K69" s="8"/>
      <c r="L69" s="8"/>
      <c r="M69" s="8" t="s">
        <v>377</v>
      </c>
      <c r="N69" s="8" t="s">
        <v>378</v>
      </c>
      <c r="O69" s="8" t="s">
        <v>124</v>
      </c>
      <c r="P69" s="8" t="s">
        <v>55</v>
      </c>
      <c r="Q69" s="8" t="s">
        <v>379</v>
      </c>
      <c r="R69" s="8" t="s">
        <v>47</v>
      </c>
      <c r="S69" s="8" t="s">
        <v>380</v>
      </c>
      <c r="T69" s="8" t="s">
        <v>48</v>
      </c>
      <c r="U69" s="8"/>
    </row>
    <row r="70" spans="1:21" x14ac:dyDescent="0.25">
      <c r="A70" s="7">
        <v>241</v>
      </c>
      <c r="B70" s="8" t="s">
        <v>381</v>
      </c>
      <c r="C70" s="8" t="s">
        <v>33</v>
      </c>
      <c r="D70" s="9">
        <v>39980</v>
      </c>
      <c r="E70" s="8" t="s">
        <v>5</v>
      </c>
      <c r="F70" s="8"/>
      <c r="G70" s="8" t="s">
        <v>48</v>
      </c>
      <c r="H70" s="8"/>
      <c r="I70" s="8" t="s">
        <v>382</v>
      </c>
      <c r="J70" s="8"/>
      <c r="K70" s="8"/>
      <c r="L70" s="8"/>
      <c r="M70" s="8" t="s">
        <v>383</v>
      </c>
      <c r="N70" s="8" t="s">
        <v>384</v>
      </c>
      <c r="O70" s="8" t="s">
        <v>385</v>
      </c>
      <c r="P70" s="8" t="s">
        <v>45</v>
      </c>
      <c r="Q70" s="8" t="s">
        <v>55</v>
      </c>
      <c r="R70" s="8" t="s">
        <v>336</v>
      </c>
      <c r="S70" s="8" t="s">
        <v>386</v>
      </c>
      <c r="T70" s="8" t="s">
        <v>48</v>
      </c>
      <c r="U70" s="8"/>
    </row>
    <row r="71" spans="1:21" x14ac:dyDescent="0.25">
      <c r="A71" s="7">
        <v>242</v>
      </c>
      <c r="B71" s="8" t="s">
        <v>1435</v>
      </c>
      <c r="C71" s="8" t="s">
        <v>33</v>
      </c>
      <c r="D71" s="9">
        <v>39463</v>
      </c>
      <c r="E71" s="8" t="s">
        <v>5</v>
      </c>
      <c r="F71" s="8"/>
      <c r="G71" s="8" t="s">
        <v>48</v>
      </c>
      <c r="H71" s="8"/>
      <c r="I71" s="8" t="s">
        <v>387</v>
      </c>
      <c r="J71" s="8"/>
      <c r="K71" s="8"/>
      <c r="L71" s="8"/>
      <c r="M71" s="8" t="s">
        <v>288</v>
      </c>
      <c r="N71" s="8" t="s">
        <v>388</v>
      </c>
      <c r="O71" s="8"/>
      <c r="P71" s="8"/>
      <c r="Q71" s="8" t="s">
        <v>389</v>
      </c>
      <c r="R71" s="8" t="s">
        <v>47</v>
      </c>
      <c r="S71" s="8" t="s">
        <v>390</v>
      </c>
      <c r="T71" s="8" t="s">
        <v>48</v>
      </c>
      <c r="U71" s="8"/>
    </row>
    <row r="72" spans="1:21" x14ac:dyDescent="0.25">
      <c r="A72" s="7">
        <v>243</v>
      </c>
      <c r="B72" s="8" t="s">
        <v>391</v>
      </c>
      <c r="C72" s="8" t="s">
        <v>33</v>
      </c>
      <c r="D72" s="9">
        <v>40121</v>
      </c>
      <c r="E72" s="8" t="s">
        <v>5</v>
      </c>
      <c r="F72" s="8" t="s">
        <v>392</v>
      </c>
      <c r="G72" s="8" t="s">
        <v>48</v>
      </c>
      <c r="H72" s="8" t="s">
        <v>393</v>
      </c>
      <c r="I72" s="8" t="s">
        <v>394</v>
      </c>
      <c r="J72" s="8" t="s">
        <v>395</v>
      </c>
      <c r="K72" s="8" t="s">
        <v>396</v>
      </c>
      <c r="L72" s="8"/>
      <c r="M72" s="8" t="s">
        <v>180</v>
      </c>
      <c r="N72" s="8" t="s">
        <v>397</v>
      </c>
      <c r="O72" s="8" t="s">
        <v>124</v>
      </c>
      <c r="P72" s="8" t="s">
        <v>235</v>
      </c>
      <c r="Q72" s="8" t="s">
        <v>398</v>
      </c>
      <c r="R72" s="8" t="s">
        <v>47</v>
      </c>
      <c r="S72" s="8"/>
      <c r="T72" s="8" t="s">
        <v>48</v>
      </c>
      <c r="U72" s="8"/>
    </row>
    <row r="73" spans="1:21" x14ac:dyDescent="0.25">
      <c r="A73" s="7">
        <v>244</v>
      </c>
      <c r="B73" s="8" t="s">
        <v>399</v>
      </c>
      <c r="C73" s="8" t="s">
        <v>33</v>
      </c>
      <c r="D73" s="9">
        <v>39454</v>
      </c>
      <c r="E73" s="8" t="s">
        <v>5</v>
      </c>
      <c r="F73" s="8"/>
      <c r="G73" s="8" t="s">
        <v>48</v>
      </c>
      <c r="H73" s="8"/>
      <c r="I73" s="8" t="s">
        <v>400</v>
      </c>
      <c r="J73" s="8"/>
      <c r="K73" s="8"/>
      <c r="L73" s="8"/>
      <c r="M73" s="8" t="s">
        <v>180</v>
      </c>
      <c r="N73" s="8" t="s">
        <v>401</v>
      </c>
      <c r="O73" s="8" t="s">
        <v>64</v>
      </c>
      <c r="P73" s="8"/>
      <c r="Q73" s="8"/>
      <c r="R73" s="8" t="s">
        <v>47</v>
      </c>
      <c r="S73" s="8"/>
      <c r="T73" s="8" t="s">
        <v>48</v>
      </c>
      <c r="U73" s="8"/>
    </row>
    <row r="74" spans="1:21" x14ac:dyDescent="0.25">
      <c r="A74" s="7">
        <v>245</v>
      </c>
      <c r="B74" s="8" t="s">
        <v>422</v>
      </c>
      <c r="C74" s="8" t="s">
        <v>33</v>
      </c>
      <c r="D74" s="9">
        <v>39914</v>
      </c>
      <c r="E74" s="8" t="s">
        <v>5</v>
      </c>
      <c r="F74" s="8" t="s">
        <v>392</v>
      </c>
      <c r="G74" s="8" t="s">
        <v>48</v>
      </c>
      <c r="H74" s="8"/>
      <c r="I74" s="8" t="s">
        <v>423</v>
      </c>
      <c r="J74" s="8" t="s">
        <v>424</v>
      </c>
      <c r="K74" s="8" t="s">
        <v>425</v>
      </c>
      <c r="L74" s="8" t="s">
        <v>61</v>
      </c>
      <c r="M74" s="8" t="s">
        <v>1313</v>
      </c>
      <c r="N74" s="8" t="s">
        <v>1314</v>
      </c>
      <c r="O74" s="8"/>
      <c r="P74" s="8" t="s">
        <v>51</v>
      </c>
      <c r="Q74" s="8" t="s">
        <v>1315</v>
      </c>
      <c r="R74" s="8" t="s">
        <v>47</v>
      </c>
      <c r="S74" s="8" t="s">
        <v>1316</v>
      </c>
      <c r="T74" s="8" t="s">
        <v>48</v>
      </c>
      <c r="U74" s="8"/>
    </row>
    <row r="75" spans="1:21" x14ac:dyDescent="0.25">
      <c r="A75" s="7">
        <v>246</v>
      </c>
      <c r="B75" s="8" t="s">
        <v>416</v>
      </c>
      <c r="C75" s="8" t="s">
        <v>33</v>
      </c>
      <c r="D75" s="9">
        <v>39591</v>
      </c>
      <c r="E75" s="8" t="s">
        <v>5</v>
      </c>
      <c r="F75" s="8" t="s">
        <v>417</v>
      </c>
      <c r="G75" s="8" t="s">
        <v>48</v>
      </c>
      <c r="H75" s="8"/>
      <c r="I75" s="8"/>
      <c r="J75" s="8" t="s">
        <v>418</v>
      </c>
      <c r="K75" s="8"/>
      <c r="L75" s="8" t="s">
        <v>419</v>
      </c>
      <c r="M75" s="8" t="s">
        <v>420</v>
      </c>
      <c r="N75" s="8" t="s">
        <v>82</v>
      </c>
      <c r="O75" s="8"/>
      <c r="P75" s="8" t="s">
        <v>239</v>
      </c>
      <c r="Q75" s="8" t="s">
        <v>81</v>
      </c>
      <c r="R75" s="8" t="s">
        <v>47</v>
      </c>
      <c r="S75" s="8" t="s">
        <v>421</v>
      </c>
      <c r="T75" s="8" t="s">
        <v>48</v>
      </c>
      <c r="U75" s="8"/>
    </row>
    <row r="76" spans="1:21" x14ac:dyDescent="0.25">
      <c r="A76" s="7">
        <v>247</v>
      </c>
      <c r="B76" s="8" t="s">
        <v>1223</v>
      </c>
      <c r="C76" s="8" t="s">
        <v>33</v>
      </c>
      <c r="D76" s="9">
        <v>39707</v>
      </c>
      <c r="E76" s="8" t="s">
        <v>5</v>
      </c>
      <c r="F76" s="8" t="s">
        <v>1224</v>
      </c>
      <c r="G76" s="8" t="s">
        <v>48</v>
      </c>
      <c r="H76" s="8"/>
      <c r="I76" s="8" t="s">
        <v>1225</v>
      </c>
      <c r="J76" s="8"/>
      <c r="K76" s="8"/>
      <c r="L76" s="8"/>
      <c r="M76" s="8"/>
      <c r="N76" s="8" t="s">
        <v>1226</v>
      </c>
      <c r="O76" s="8"/>
      <c r="P76" s="8" t="s">
        <v>204</v>
      </c>
      <c r="Q76" s="8" t="s">
        <v>93</v>
      </c>
      <c r="R76" s="8"/>
      <c r="S76" s="8"/>
      <c r="T76" s="8" t="s">
        <v>48</v>
      </c>
      <c r="U76" s="8"/>
    </row>
    <row r="77" spans="1:21" x14ac:dyDescent="0.25">
      <c r="A77" s="7">
        <v>248</v>
      </c>
      <c r="B77" s="8" t="s">
        <v>1227</v>
      </c>
      <c r="C77" s="8" t="s">
        <v>33</v>
      </c>
      <c r="D77" s="9">
        <v>39948</v>
      </c>
      <c r="E77" s="8" t="s">
        <v>5</v>
      </c>
      <c r="F77" s="8" t="s">
        <v>1228</v>
      </c>
      <c r="G77" s="8" t="s">
        <v>48</v>
      </c>
      <c r="H77" s="8" t="s">
        <v>1229</v>
      </c>
      <c r="I77" s="8" t="s">
        <v>1230</v>
      </c>
      <c r="J77" s="8" t="s">
        <v>1231</v>
      </c>
      <c r="K77" s="8" t="s">
        <v>1232</v>
      </c>
      <c r="L77" s="8" t="s">
        <v>419</v>
      </c>
      <c r="M77" s="8" t="s">
        <v>1233</v>
      </c>
      <c r="N77" s="8" t="s">
        <v>622</v>
      </c>
      <c r="O77" s="8"/>
      <c r="P77" s="8" t="s">
        <v>45</v>
      </c>
      <c r="Q77" s="8" t="s">
        <v>72</v>
      </c>
      <c r="R77" s="8"/>
      <c r="S77" s="8" t="s">
        <v>1222</v>
      </c>
      <c r="T77" s="8" t="s">
        <v>48</v>
      </c>
      <c r="U77" s="8"/>
    </row>
    <row r="78" spans="1:21" x14ac:dyDescent="0.25">
      <c r="A78" s="7">
        <v>249</v>
      </c>
      <c r="B78" s="8" t="s">
        <v>1234</v>
      </c>
      <c r="C78" s="8" t="s">
        <v>33</v>
      </c>
      <c r="D78" s="9">
        <v>39963</v>
      </c>
      <c r="E78" s="8" t="s">
        <v>5</v>
      </c>
      <c r="F78" s="8" t="s">
        <v>133</v>
      </c>
      <c r="G78" s="8" t="s">
        <v>48</v>
      </c>
      <c r="H78" s="8"/>
      <c r="I78" s="8" t="s">
        <v>1235</v>
      </c>
      <c r="J78" s="8" t="s">
        <v>1236</v>
      </c>
      <c r="K78" s="8" t="s">
        <v>1237</v>
      </c>
      <c r="L78" s="8"/>
      <c r="M78" s="8" t="s">
        <v>1238</v>
      </c>
      <c r="N78" s="8" t="s">
        <v>44</v>
      </c>
      <c r="O78" s="8"/>
      <c r="P78" s="8" t="s">
        <v>278</v>
      </c>
      <c r="Q78" s="8"/>
      <c r="R78" s="8" t="s">
        <v>47</v>
      </c>
      <c r="S78" s="8" t="s">
        <v>415</v>
      </c>
      <c r="T78" s="8" t="s">
        <v>48</v>
      </c>
      <c r="U78" s="8"/>
    </row>
    <row r="79" spans="1:21" x14ac:dyDescent="0.25">
      <c r="A79" s="7">
        <v>250</v>
      </c>
      <c r="B79" s="8" t="s">
        <v>1255</v>
      </c>
      <c r="C79" s="8" t="s">
        <v>33</v>
      </c>
      <c r="D79" s="9">
        <v>39868</v>
      </c>
      <c r="E79" s="8" t="s">
        <v>5</v>
      </c>
      <c r="F79" s="8" t="s">
        <v>1256</v>
      </c>
      <c r="G79" s="8" t="s">
        <v>48</v>
      </c>
      <c r="H79" s="8"/>
      <c r="I79" s="8"/>
      <c r="J79" s="8" t="s">
        <v>1257</v>
      </c>
      <c r="K79" s="8"/>
      <c r="L79" s="8" t="s">
        <v>41</v>
      </c>
      <c r="M79" s="8" t="s">
        <v>45</v>
      </c>
      <c r="N79" s="8" t="s">
        <v>234</v>
      </c>
      <c r="O79" s="8" t="s">
        <v>124</v>
      </c>
      <c r="P79" s="8" t="s">
        <v>204</v>
      </c>
      <c r="Q79" s="8"/>
      <c r="R79" s="8"/>
      <c r="S79" s="8"/>
      <c r="T79" s="8" t="s">
        <v>48</v>
      </c>
      <c r="U79" s="8"/>
    </row>
    <row r="80" spans="1:21" x14ac:dyDescent="0.25">
      <c r="A80" s="7">
        <v>251</v>
      </c>
      <c r="B80" s="8" t="s">
        <v>1258</v>
      </c>
      <c r="C80" s="8" t="s">
        <v>33</v>
      </c>
      <c r="D80" s="9">
        <v>39939</v>
      </c>
      <c r="E80" s="8" t="s">
        <v>5</v>
      </c>
      <c r="F80" s="8" t="s">
        <v>312</v>
      </c>
      <c r="G80" s="8" t="s">
        <v>48</v>
      </c>
      <c r="H80" s="8"/>
      <c r="I80" s="8" t="s">
        <v>1259</v>
      </c>
      <c r="J80" s="8" t="s">
        <v>1260</v>
      </c>
      <c r="K80" s="8" t="s">
        <v>1261</v>
      </c>
      <c r="L80" s="8" t="s">
        <v>1262</v>
      </c>
      <c r="M80" s="8" t="s">
        <v>1263</v>
      </c>
      <c r="N80" s="8" t="s">
        <v>242</v>
      </c>
      <c r="O80" s="8"/>
      <c r="P80" s="8" t="s">
        <v>42</v>
      </c>
      <c r="Q80" s="8"/>
      <c r="R80" s="8"/>
      <c r="S80" s="8" t="s">
        <v>290</v>
      </c>
      <c r="T80" s="8" t="s">
        <v>48</v>
      </c>
      <c r="U80" s="8"/>
    </row>
    <row r="81" spans="1:21" x14ac:dyDescent="0.25">
      <c r="A81" s="7">
        <v>253</v>
      </c>
      <c r="B81" s="8" t="s">
        <v>1317</v>
      </c>
      <c r="C81" s="8" t="s">
        <v>33</v>
      </c>
      <c r="D81" s="9">
        <v>40258</v>
      </c>
      <c r="E81" s="8" t="s">
        <v>5</v>
      </c>
      <c r="F81" s="8" t="s">
        <v>312</v>
      </c>
      <c r="G81" s="8" t="s">
        <v>36</v>
      </c>
      <c r="H81" s="8"/>
      <c r="I81" s="8" t="s">
        <v>1318</v>
      </c>
      <c r="J81" s="8" t="s">
        <v>1319</v>
      </c>
      <c r="K81" s="8" t="s">
        <v>1320</v>
      </c>
      <c r="L81" s="8" t="s">
        <v>61</v>
      </c>
      <c r="M81" s="8" t="s">
        <v>358</v>
      </c>
      <c r="N81" s="8" t="s">
        <v>82</v>
      </c>
      <c r="O81" s="8"/>
      <c r="P81" s="8" t="s">
        <v>62</v>
      </c>
      <c r="Q81" s="8" t="s">
        <v>46</v>
      </c>
      <c r="R81" s="8" t="s">
        <v>47</v>
      </c>
      <c r="S81" s="8" t="s">
        <v>1321</v>
      </c>
      <c r="T81" s="8" t="s">
        <v>48</v>
      </c>
      <c r="U81" s="8"/>
    </row>
    <row r="82" spans="1:21" x14ac:dyDescent="0.25">
      <c r="A82" s="7">
        <v>254</v>
      </c>
      <c r="B82" s="8" t="s">
        <v>1322</v>
      </c>
      <c r="C82" s="8" t="s">
        <v>33</v>
      </c>
      <c r="D82" s="9">
        <v>39917</v>
      </c>
      <c r="E82" s="8" t="s">
        <v>5</v>
      </c>
      <c r="F82" s="8" t="s">
        <v>1302</v>
      </c>
      <c r="G82" s="8" t="s">
        <v>48</v>
      </c>
      <c r="H82" s="8"/>
      <c r="I82" s="8" t="s">
        <v>1323</v>
      </c>
      <c r="J82" s="8"/>
      <c r="K82" s="8" t="s">
        <v>1324</v>
      </c>
      <c r="L82" s="8"/>
      <c r="M82" s="8" t="s">
        <v>62</v>
      </c>
      <c r="N82" s="8" t="s">
        <v>397</v>
      </c>
      <c r="O82" s="8"/>
      <c r="P82" s="8" t="s">
        <v>55</v>
      </c>
      <c r="Q82" s="8" t="s">
        <v>251</v>
      </c>
      <c r="R82" s="8" t="s">
        <v>47</v>
      </c>
      <c r="S82" s="8" t="s">
        <v>1325</v>
      </c>
      <c r="T82" s="8" t="s">
        <v>48</v>
      </c>
      <c r="U82" s="8"/>
    </row>
    <row r="83" spans="1:21" x14ac:dyDescent="0.25">
      <c r="A83" s="7">
        <v>255</v>
      </c>
      <c r="B83" s="8" t="s">
        <v>1326</v>
      </c>
      <c r="C83" s="8" t="s">
        <v>33</v>
      </c>
      <c r="D83" s="9">
        <v>40002</v>
      </c>
      <c r="E83" s="8" t="s">
        <v>5</v>
      </c>
      <c r="F83" s="8" t="s">
        <v>1302</v>
      </c>
      <c r="G83" s="8" t="s">
        <v>48</v>
      </c>
      <c r="H83" s="8"/>
      <c r="I83" s="8" t="s">
        <v>1327</v>
      </c>
      <c r="J83" s="8" t="s">
        <v>1328</v>
      </c>
      <c r="K83" s="8"/>
      <c r="L83" s="8"/>
      <c r="M83" s="8" t="s">
        <v>46</v>
      </c>
      <c r="N83" s="8" t="s">
        <v>1329</v>
      </c>
      <c r="O83" s="8"/>
      <c r="P83" s="8" t="s">
        <v>93</v>
      </c>
      <c r="Q83" s="8"/>
      <c r="R83" s="8" t="s">
        <v>939</v>
      </c>
      <c r="S83" s="8"/>
      <c r="T83" s="8" t="s">
        <v>48</v>
      </c>
      <c r="U83" s="8"/>
    </row>
    <row r="84" spans="1:21" x14ac:dyDescent="0.25">
      <c r="A84" s="7">
        <v>256</v>
      </c>
      <c r="B84" s="8" t="s">
        <v>1335</v>
      </c>
      <c r="C84" s="8" t="s">
        <v>33</v>
      </c>
      <c r="D84" s="9">
        <v>40150</v>
      </c>
      <c r="E84" s="8" t="s">
        <v>5</v>
      </c>
      <c r="F84" s="8" t="s">
        <v>312</v>
      </c>
      <c r="G84" s="8" t="s">
        <v>36</v>
      </c>
      <c r="H84" s="8"/>
      <c r="I84" s="8" t="s">
        <v>1336</v>
      </c>
      <c r="J84" s="8"/>
      <c r="K84" s="8"/>
      <c r="L84" s="8" t="s">
        <v>1337</v>
      </c>
      <c r="M84" s="8"/>
      <c r="N84" s="8" t="s">
        <v>124</v>
      </c>
      <c r="O84" s="8"/>
      <c r="P84" s="8" t="s">
        <v>46</v>
      </c>
      <c r="Q84" s="8" t="s">
        <v>83</v>
      </c>
      <c r="R84" s="8" t="s">
        <v>47</v>
      </c>
      <c r="S84" s="8"/>
      <c r="T84" s="8" t="s">
        <v>48</v>
      </c>
      <c r="U84" s="8"/>
    </row>
    <row r="85" spans="1:21" x14ac:dyDescent="0.25">
      <c r="A85" s="7">
        <v>257</v>
      </c>
      <c r="B85" s="8" t="s">
        <v>1338</v>
      </c>
      <c r="C85" s="8" t="s">
        <v>33</v>
      </c>
      <c r="D85" s="9">
        <v>0</v>
      </c>
      <c r="E85" s="8" t="s">
        <v>5</v>
      </c>
      <c r="F85" s="8" t="s">
        <v>312</v>
      </c>
      <c r="G85" s="8" t="s">
        <v>48</v>
      </c>
      <c r="H85" s="8"/>
      <c r="I85" s="8" t="s">
        <v>1339</v>
      </c>
      <c r="J85" s="8" t="s">
        <v>1340</v>
      </c>
      <c r="K85" s="8" t="s">
        <v>1341</v>
      </c>
      <c r="L85" s="8" t="s">
        <v>1342</v>
      </c>
      <c r="M85" s="8" t="s">
        <v>1343</v>
      </c>
      <c r="N85" s="8" t="s">
        <v>336</v>
      </c>
      <c r="O85" s="8"/>
      <c r="P85" s="8" t="s">
        <v>42</v>
      </c>
      <c r="Q85" s="8" t="s">
        <v>1344</v>
      </c>
      <c r="R85" s="8"/>
      <c r="S85" s="8"/>
      <c r="T85" s="8" t="s">
        <v>48</v>
      </c>
      <c r="U85" s="8"/>
    </row>
    <row r="86" spans="1:21" x14ac:dyDescent="0.25">
      <c r="A86" s="7">
        <v>303</v>
      </c>
      <c r="B86" s="8" t="s">
        <v>547</v>
      </c>
      <c r="C86" s="8" t="s">
        <v>33</v>
      </c>
      <c r="D86" s="9">
        <v>32698</v>
      </c>
      <c r="E86" s="8" t="s">
        <v>34</v>
      </c>
      <c r="F86" s="8"/>
      <c r="G86" s="8" t="s">
        <v>48</v>
      </c>
      <c r="H86" s="8"/>
      <c r="I86" s="8" t="s">
        <v>548</v>
      </c>
      <c r="J86" s="8"/>
      <c r="K86" s="8"/>
      <c r="L86" s="8" t="s">
        <v>238</v>
      </c>
      <c r="M86" s="8" t="s">
        <v>46</v>
      </c>
      <c r="N86" s="8" t="s">
        <v>76</v>
      </c>
      <c r="O86" s="8"/>
      <c r="P86" s="8" t="s">
        <v>55</v>
      </c>
      <c r="Q86" s="8" t="s">
        <v>83</v>
      </c>
      <c r="R86" s="8" t="s">
        <v>47</v>
      </c>
      <c r="S86" s="8"/>
      <c r="T86" s="8" t="s">
        <v>48</v>
      </c>
      <c r="U86" s="8"/>
    </row>
    <row r="87" spans="1:21" x14ac:dyDescent="0.25">
      <c r="A87" s="7">
        <v>304</v>
      </c>
      <c r="B87" s="8" t="s">
        <v>554</v>
      </c>
      <c r="C87" s="8" t="s">
        <v>33</v>
      </c>
      <c r="D87" s="9">
        <v>37362</v>
      </c>
      <c r="E87" s="8" t="s">
        <v>34</v>
      </c>
      <c r="F87" s="8"/>
      <c r="G87" s="8" t="s">
        <v>48</v>
      </c>
      <c r="H87" s="8"/>
      <c r="I87" s="8" t="s">
        <v>555</v>
      </c>
      <c r="J87" s="8"/>
      <c r="K87" s="8"/>
      <c r="L87" s="8" t="s">
        <v>556</v>
      </c>
      <c r="M87" s="8"/>
      <c r="N87" s="8" t="s">
        <v>557</v>
      </c>
      <c r="O87" s="8"/>
      <c r="P87" s="8"/>
      <c r="Q87" s="8"/>
      <c r="R87" s="8" t="s">
        <v>318</v>
      </c>
      <c r="S87" s="8"/>
      <c r="T87" s="8" t="s">
        <v>48</v>
      </c>
      <c r="U87" s="8"/>
    </row>
    <row r="88" spans="1:21" x14ac:dyDescent="0.25">
      <c r="A88" s="7">
        <v>310</v>
      </c>
      <c r="B88" s="8" t="s">
        <v>197</v>
      </c>
      <c r="C88" s="8" t="s">
        <v>33</v>
      </c>
      <c r="D88" s="9">
        <v>39875</v>
      </c>
      <c r="E88" s="8" t="s">
        <v>6</v>
      </c>
      <c r="F88" s="8"/>
      <c r="G88" s="8" t="s">
        <v>48</v>
      </c>
      <c r="H88" s="8"/>
      <c r="I88" s="8" t="s">
        <v>198</v>
      </c>
      <c r="J88" s="8"/>
      <c r="K88" s="8"/>
      <c r="L88" s="8"/>
      <c r="M88" s="8" t="s">
        <v>163</v>
      </c>
      <c r="N88" s="8" t="s">
        <v>124</v>
      </c>
      <c r="O88" s="8"/>
      <c r="P88" s="8" t="s">
        <v>93</v>
      </c>
      <c r="Q88" s="8" t="s">
        <v>45</v>
      </c>
      <c r="R88" s="8" t="s">
        <v>47</v>
      </c>
      <c r="S88" s="8"/>
      <c r="T88" s="8" t="s">
        <v>48</v>
      </c>
      <c r="U88" s="8"/>
    </row>
    <row r="89" spans="1:21" x14ac:dyDescent="0.25">
      <c r="A89" s="7">
        <v>311</v>
      </c>
      <c r="B89" s="8" t="s">
        <v>199</v>
      </c>
      <c r="C89" s="8" t="s">
        <v>33</v>
      </c>
      <c r="D89" s="9">
        <v>39763</v>
      </c>
      <c r="E89" s="8" t="s">
        <v>6</v>
      </c>
      <c r="F89" s="8"/>
      <c r="G89" s="8" t="s">
        <v>48</v>
      </c>
      <c r="H89" s="8"/>
      <c r="I89" s="8" t="s">
        <v>200</v>
      </c>
      <c r="J89" s="8"/>
      <c r="K89" s="8"/>
      <c r="L89" s="8"/>
      <c r="M89" s="8" t="s">
        <v>201</v>
      </c>
      <c r="N89" s="8" t="s">
        <v>202</v>
      </c>
      <c r="O89" s="8" t="s">
        <v>203</v>
      </c>
      <c r="P89" s="8" t="s">
        <v>204</v>
      </c>
      <c r="Q89" s="8"/>
      <c r="R89" s="8" t="s">
        <v>47</v>
      </c>
      <c r="S89" s="8"/>
      <c r="T89" s="8" t="s">
        <v>36</v>
      </c>
      <c r="U89" s="8"/>
    </row>
    <row r="90" spans="1:21" x14ac:dyDescent="0.25">
      <c r="A90" s="7">
        <v>312</v>
      </c>
      <c r="B90" s="8" t="s">
        <v>205</v>
      </c>
      <c r="C90" s="8" t="s">
        <v>33</v>
      </c>
      <c r="D90" s="9">
        <v>39694</v>
      </c>
      <c r="E90" s="8" t="s">
        <v>6</v>
      </c>
      <c r="F90" s="8"/>
      <c r="G90" s="8" t="s">
        <v>48</v>
      </c>
      <c r="H90" s="8"/>
      <c r="I90" s="8" t="s">
        <v>206</v>
      </c>
      <c r="J90" s="8"/>
      <c r="K90" s="8"/>
      <c r="L90" s="8"/>
      <c r="M90" s="8" t="s">
        <v>207</v>
      </c>
      <c r="N90" s="8" t="s">
        <v>124</v>
      </c>
      <c r="O90" s="8"/>
      <c r="P90" s="8"/>
      <c r="Q90" s="8"/>
      <c r="R90" s="8" t="s">
        <v>47</v>
      </c>
      <c r="S90" s="8"/>
      <c r="T90" s="8" t="s">
        <v>48</v>
      </c>
      <c r="U90" s="8"/>
    </row>
    <row r="91" spans="1:21" x14ac:dyDescent="0.25">
      <c r="A91" s="7">
        <v>313</v>
      </c>
      <c r="B91" s="8" t="s">
        <v>208</v>
      </c>
      <c r="C91" s="8" t="s">
        <v>33</v>
      </c>
      <c r="D91" s="9">
        <v>39700</v>
      </c>
      <c r="E91" s="8" t="s">
        <v>6</v>
      </c>
      <c r="F91" s="8"/>
      <c r="G91" s="8" t="s">
        <v>48</v>
      </c>
      <c r="H91" s="8"/>
      <c r="I91" s="8" t="s">
        <v>209</v>
      </c>
      <c r="J91" s="8"/>
      <c r="K91" s="8"/>
      <c r="L91" s="8"/>
      <c r="M91" s="8" t="s">
        <v>210</v>
      </c>
      <c r="N91" s="8" t="s">
        <v>64</v>
      </c>
      <c r="O91" s="8"/>
      <c r="P91" s="8"/>
      <c r="Q91" s="8"/>
      <c r="R91" s="8" t="s">
        <v>47</v>
      </c>
      <c r="S91" s="8"/>
      <c r="T91" s="8" t="s">
        <v>48</v>
      </c>
      <c r="U91" s="8"/>
    </row>
    <row r="92" spans="1:21" x14ac:dyDescent="0.25">
      <c r="A92" s="7">
        <v>314</v>
      </c>
      <c r="B92" s="8" t="s">
        <v>211</v>
      </c>
      <c r="C92" s="8" t="s">
        <v>33</v>
      </c>
      <c r="D92" s="9">
        <v>39679</v>
      </c>
      <c r="E92" s="8" t="s">
        <v>6</v>
      </c>
      <c r="F92" s="8"/>
      <c r="G92" s="8" t="s">
        <v>48</v>
      </c>
      <c r="H92" s="8"/>
      <c r="I92" s="8" t="s">
        <v>212</v>
      </c>
      <c r="J92" s="8"/>
      <c r="K92" s="8"/>
      <c r="L92" s="8"/>
      <c r="M92" s="8" t="s">
        <v>213</v>
      </c>
      <c r="N92" s="8" t="s">
        <v>123</v>
      </c>
      <c r="O92" s="8"/>
      <c r="P92" s="8" t="s">
        <v>51</v>
      </c>
      <c r="Q92" s="8" t="s">
        <v>210</v>
      </c>
      <c r="R92" s="8" t="s">
        <v>47</v>
      </c>
      <c r="S92" s="8"/>
      <c r="T92" s="8" t="s">
        <v>48</v>
      </c>
      <c r="U92" s="8"/>
    </row>
    <row r="93" spans="1:21" x14ac:dyDescent="0.25">
      <c r="A93" s="7">
        <v>315</v>
      </c>
      <c r="B93" s="8" t="s">
        <v>1345</v>
      </c>
      <c r="C93" s="8" t="s">
        <v>33</v>
      </c>
      <c r="D93" s="9">
        <v>39836</v>
      </c>
      <c r="E93" s="8" t="s">
        <v>6</v>
      </c>
      <c r="F93" s="8"/>
      <c r="G93" s="8" t="s">
        <v>48</v>
      </c>
      <c r="H93" s="8"/>
      <c r="I93" s="8" t="s">
        <v>214</v>
      </c>
      <c r="J93" s="8"/>
      <c r="K93" s="8"/>
      <c r="L93" s="8"/>
      <c r="M93" s="8"/>
      <c r="N93" s="8"/>
      <c r="O93" s="8"/>
      <c r="P93" s="8"/>
      <c r="Q93" s="8"/>
      <c r="R93" s="8" t="s">
        <v>98</v>
      </c>
      <c r="S93" s="8" t="s">
        <v>215</v>
      </c>
      <c r="T93" s="8" t="s">
        <v>48</v>
      </c>
      <c r="U93" s="8"/>
    </row>
    <row r="94" spans="1:21" x14ac:dyDescent="0.25">
      <c r="A94" s="7">
        <v>317</v>
      </c>
      <c r="B94" s="8" t="s">
        <v>223</v>
      </c>
      <c r="C94" s="8" t="s">
        <v>33</v>
      </c>
      <c r="D94" s="9">
        <v>39743</v>
      </c>
      <c r="E94" s="8" t="s">
        <v>6</v>
      </c>
      <c r="F94" s="8" t="s">
        <v>224</v>
      </c>
      <c r="G94" s="8" t="s">
        <v>48</v>
      </c>
      <c r="H94" s="8"/>
      <c r="I94" s="8" t="s">
        <v>225</v>
      </c>
      <c r="J94" s="8" t="s">
        <v>226</v>
      </c>
      <c r="K94" s="8" t="s">
        <v>227</v>
      </c>
      <c r="L94" s="8" t="s">
        <v>136</v>
      </c>
      <c r="M94" s="8" t="s">
        <v>65</v>
      </c>
      <c r="N94" s="8" t="s">
        <v>171</v>
      </c>
      <c r="O94" s="8" t="s">
        <v>228</v>
      </c>
      <c r="P94" s="8" t="s">
        <v>72</v>
      </c>
      <c r="Q94" s="8" t="s">
        <v>180</v>
      </c>
      <c r="R94" s="8" t="s">
        <v>47</v>
      </c>
      <c r="S94" s="8"/>
      <c r="T94" s="8" t="s">
        <v>48</v>
      </c>
      <c r="U94" s="8"/>
    </row>
    <row r="95" spans="1:21" x14ac:dyDescent="0.25">
      <c r="A95" s="7">
        <v>318</v>
      </c>
      <c r="B95" s="8" t="s">
        <v>229</v>
      </c>
      <c r="C95" s="8" t="s">
        <v>33</v>
      </c>
      <c r="D95" s="9">
        <v>39739</v>
      </c>
      <c r="E95" s="8" t="s">
        <v>6</v>
      </c>
      <c r="F95" s="8" t="s">
        <v>86</v>
      </c>
      <c r="G95" s="8" t="s">
        <v>48</v>
      </c>
      <c r="H95" s="8" t="s">
        <v>230</v>
      </c>
      <c r="I95" s="8" t="s">
        <v>214</v>
      </c>
      <c r="J95" s="8" t="s">
        <v>231</v>
      </c>
      <c r="K95" s="8" t="s">
        <v>232</v>
      </c>
      <c r="L95" s="8"/>
      <c r="M95" s="8" t="s">
        <v>46</v>
      </c>
      <c r="N95" s="8" t="s">
        <v>233</v>
      </c>
      <c r="O95" s="8" t="s">
        <v>234</v>
      </c>
      <c r="P95" s="8" t="s">
        <v>93</v>
      </c>
      <c r="Q95" s="8" t="s">
        <v>235</v>
      </c>
      <c r="R95" s="8" t="s">
        <v>47</v>
      </c>
      <c r="S95" s="8"/>
      <c r="T95" s="8" t="s">
        <v>48</v>
      </c>
      <c r="U95" s="8"/>
    </row>
    <row r="96" spans="1:21" x14ac:dyDescent="0.25">
      <c r="A96" s="7">
        <v>319</v>
      </c>
      <c r="B96" s="8" t="s">
        <v>236</v>
      </c>
      <c r="C96" s="8" t="s">
        <v>33</v>
      </c>
      <c r="D96" s="9">
        <v>40218</v>
      </c>
      <c r="E96" s="8" t="s">
        <v>6</v>
      </c>
      <c r="F96" s="8" t="s">
        <v>133</v>
      </c>
      <c r="G96" s="8" t="s">
        <v>48</v>
      </c>
      <c r="H96" s="8"/>
      <c r="I96" s="8" t="s">
        <v>237</v>
      </c>
      <c r="J96" s="8"/>
      <c r="K96" s="8"/>
      <c r="L96" s="8" t="s">
        <v>238</v>
      </c>
      <c r="M96" s="8" t="s">
        <v>239</v>
      </c>
      <c r="N96" s="8" t="s">
        <v>240</v>
      </c>
      <c r="O96" s="8" t="s">
        <v>124</v>
      </c>
      <c r="P96" s="8" t="s">
        <v>46</v>
      </c>
      <c r="Q96" s="8"/>
      <c r="R96" s="8" t="s">
        <v>47</v>
      </c>
      <c r="S96" s="8"/>
      <c r="T96" s="8" t="s">
        <v>48</v>
      </c>
      <c r="U96" s="8"/>
    </row>
    <row r="97" spans="1:21" x14ac:dyDescent="0.25">
      <c r="A97" s="7">
        <v>321</v>
      </c>
      <c r="B97" s="8" t="s">
        <v>243</v>
      </c>
      <c r="C97" s="8" t="s">
        <v>33</v>
      </c>
      <c r="D97" s="9">
        <v>40113</v>
      </c>
      <c r="E97" s="8" t="s">
        <v>6</v>
      </c>
      <c r="F97" s="8" t="s">
        <v>78</v>
      </c>
      <c r="G97" s="8" t="s">
        <v>48</v>
      </c>
      <c r="H97" s="8"/>
      <c r="I97" s="8" t="s">
        <v>244</v>
      </c>
      <c r="J97" s="8" t="s">
        <v>245</v>
      </c>
      <c r="K97" s="8"/>
      <c r="L97" s="8" t="s">
        <v>90</v>
      </c>
      <c r="M97" s="8" t="s">
        <v>246</v>
      </c>
      <c r="N97" s="8" t="s">
        <v>82</v>
      </c>
      <c r="O97" s="8"/>
      <c r="P97" s="8" t="s">
        <v>65</v>
      </c>
      <c r="Q97" s="8" t="s">
        <v>247</v>
      </c>
      <c r="R97" s="8" t="s">
        <v>47</v>
      </c>
      <c r="S97" s="8" t="s">
        <v>248</v>
      </c>
      <c r="T97" s="8" t="s">
        <v>48</v>
      </c>
      <c r="U97" s="8"/>
    </row>
    <row r="98" spans="1:21" x14ac:dyDescent="0.25">
      <c r="A98" s="7">
        <v>322</v>
      </c>
      <c r="B98" s="8" t="s">
        <v>1436</v>
      </c>
      <c r="C98" s="8" t="s">
        <v>33</v>
      </c>
      <c r="D98" s="9">
        <v>40052</v>
      </c>
      <c r="E98" s="8" t="s">
        <v>6</v>
      </c>
      <c r="F98" s="8"/>
      <c r="G98" s="8" t="s">
        <v>48</v>
      </c>
      <c r="H98" s="8"/>
      <c r="I98" s="8" t="s">
        <v>249</v>
      </c>
      <c r="J98" s="8"/>
      <c r="K98" s="8"/>
      <c r="L98" s="8"/>
      <c r="M98" s="8" t="s">
        <v>46</v>
      </c>
      <c r="N98" s="8" t="s">
        <v>250</v>
      </c>
      <c r="O98" s="8" t="s">
        <v>124</v>
      </c>
      <c r="P98" s="8" t="s">
        <v>55</v>
      </c>
      <c r="Q98" s="8" t="s">
        <v>251</v>
      </c>
      <c r="R98" s="8" t="s">
        <v>47</v>
      </c>
      <c r="S98" s="8" t="s">
        <v>252</v>
      </c>
      <c r="T98" s="8" t="s">
        <v>48</v>
      </c>
      <c r="U98" s="8"/>
    </row>
    <row r="99" spans="1:21" x14ac:dyDescent="0.25">
      <c r="A99" s="7">
        <v>323</v>
      </c>
      <c r="B99" s="8" t="s">
        <v>253</v>
      </c>
      <c r="C99" s="8" t="s">
        <v>33</v>
      </c>
      <c r="D99" s="9">
        <v>39599</v>
      </c>
      <c r="E99" s="8" t="s">
        <v>6</v>
      </c>
      <c r="F99" s="8" t="s">
        <v>254</v>
      </c>
      <c r="G99" s="8" t="s">
        <v>48</v>
      </c>
      <c r="H99" s="8"/>
      <c r="I99" s="8" t="s">
        <v>255</v>
      </c>
      <c r="J99" s="8" t="s">
        <v>256</v>
      </c>
      <c r="K99" s="8" t="s">
        <v>257</v>
      </c>
      <c r="L99" s="8" t="s">
        <v>61</v>
      </c>
      <c r="M99" s="8"/>
      <c r="N99" s="8" t="s">
        <v>258</v>
      </c>
      <c r="O99" s="8" t="s">
        <v>44</v>
      </c>
      <c r="P99" s="8" t="s">
        <v>51</v>
      </c>
      <c r="Q99" s="8" t="s">
        <v>210</v>
      </c>
      <c r="R99" s="8" t="s">
        <v>47</v>
      </c>
      <c r="S99" s="8"/>
      <c r="T99" s="8" t="s">
        <v>48</v>
      </c>
      <c r="U99" s="8"/>
    </row>
    <row r="100" spans="1:21" x14ac:dyDescent="0.25">
      <c r="A100" s="7">
        <v>324</v>
      </c>
      <c r="B100" s="8" t="s">
        <v>259</v>
      </c>
      <c r="C100" s="8" t="s">
        <v>33</v>
      </c>
      <c r="D100" s="9">
        <v>40107</v>
      </c>
      <c r="E100" s="8" t="s">
        <v>6</v>
      </c>
      <c r="F100" s="8"/>
      <c r="G100" s="8" t="s">
        <v>48</v>
      </c>
      <c r="H100" s="8"/>
      <c r="I100" s="8" t="s">
        <v>260</v>
      </c>
      <c r="J100" s="8"/>
      <c r="K100" s="8"/>
      <c r="L100" s="8"/>
      <c r="M100" s="8" t="s">
        <v>62</v>
      </c>
      <c r="N100" s="8" t="s">
        <v>261</v>
      </c>
      <c r="O100" s="8" t="s">
        <v>124</v>
      </c>
      <c r="P100" s="8" t="s">
        <v>62</v>
      </c>
      <c r="Q100" s="8"/>
      <c r="R100" s="8" t="s">
        <v>47</v>
      </c>
      <c r="S100" s="8"/>
      <c r="T100" s="8" t="s">
        <v>48</v>
      </c>
      <c r="U100" s="8"/>
    </row>
    <row r="101" spans="1:21" x14ac:dyDescent="0.25">
      <c r="A101" s="7">
        <v>325</v>
      </c>
      <c r="B101" s="8" t="s">
        <v>402</v>
      </c>
      <c r="C101" s="8" t="s">
        <v>33</v>
      </c>
      <c r="D101" s="9">
        <v>40169</v>
      </c>
      <c r="E101" s="8" t="s">
        <v>6</v>
      </c>
      <c r="F101" s="8" t="s">
        <v>392</v>
      </c>
      <c r="G101" s="8" t="s">
        <v>48</v>
      </c>
      <c r="H101" s="8"/>
      <c r="I101" s="8" t="s">
        <v>403</v>
      </c>
      <c r="J101" s="8" t="s">
        <v>404</v>
      </c>
      <c r="K101" s="8" t="s">
        <v>405</v>
      </c>
      <c r="L101" s="8" t="s">
        <v>136</v>
      </c>
      <c r="M101" s="8" t="s">
        <v>42</v>
      </c>
      <c r="N101" s="8" t="s">
        <v>406</v>
      </c>
      <c r="O101" s="8"/>
      <c r="P101" s="8" t="s">
        <v>62</v>
      </c>
      <c r="Q101" s="8" t="s">
        <v>55</v>
      </c>
      <c r="R101" s="8" t="s">
        <v>47</v>
      </c>
      <c r="S101" s="8" t="s">
        <v>407</v>
      </c>
      <c r="T101" s="8" t="s">
        <v>48</v>
      </c>
      <c r="U101" s="8"/>
    </row>
    <row r="102" spans="1:21" x14ac:dyDescent="0.25">
      <c r="A102" s="7">
        <v>327</v>
      </c>
      <c r="B102" s="8" t="s">
        <v>481</v>
      </c>
      <c r="C102" s="8" t="s">
        <v>33</v>
      </c>
      <c r="D102" s="9">
        <v>39678</v>
      </c>
      <c r="E102" s="8" t="s">
        <v>6</v>
      </c>
      <c r="F102" s="8"/>
      <c r="G102" s="8" t="s">
        <v>48</v>
      </c>
      <c r="H102" s="8"/>
      <c r="I102" s="8" t="s">
        <v>482</v>
      </c>
      <c r="J102" s="8"/>
      <c r="K102" s="8"/>
      <c r="L102" s="8"/>
      <c r="M102" s="8" t="s">
        <v>55</v>
      </c>
      <c r="N102" s="8" t="s">
        <v>123</v>
      </c>
      <c r="O102" s="8"/>
      <c r="P102" s="8" t="s">
        <v>62</v>
      </c>
      <c r="Q102" s="8" t="s">
        <v>42</v>
      </c>
      <c r="R102" s="8" t="s">
        <v>47</v>
      </c>
      <c r="S102" s="8"/>
      <c r="T102" s="8" t="s">
        <v>48</v>
      </c>
      <c r="U102" s="8"/>
    </row>
    <row r="103" spans="1:21" x14ac:dyDescent="0.25">
      <c r="A103" s="7">
        <v>328</v>
      </c>
      <c r="B103" s="8" t="s">
        <v>1437</v>
      </c>
      <c r="C103" s="8" t="s">
        <v>33</v>
      </c>
      <c r="D103" s="9">
        <v>39651</v>
      </c>
      <c r="E103" s="8" t="s">
        <v>6</v>
      </c>
      <c r="F103" s="8"/>
      <c r="G103" s="8" t="s">
        <v>48</v>
      </c>
      <c r="H103" s="8"/>
      <c r="I103" s="8" t="s">
        <v>483</v>
      </c>
      <c r="J103" s="8"/>
      <c r="K103" s="8"/>
      <c r="L103" s="8"/>
      <c r="M103" s="8" t="s">
        <v>65</v>
      </c>
      <c r="N103" s="8" t="s">
        <v>484</v>
      </c>
      <c r="O103" s="8" t="s">
        <v>106</v>
      </c>
      <c r="P103" s="8" t="s">
        <v>45</v>
      </c>
      <c r="Q103" s="8"/>
      <c r="R103" s="8" t="s">
        <v>47</v>
      </c>
      <c r="S103" s="8" t="s">
        <v>485</v>
      </c>
      <c r="T103" s="8" t="s">
        <v>48</v>
      </c>
      <c r="U103" s="8"/>
    </row>
    <row r="104" spans="1:21" x14ac:dyDescent="0.25">
      <c r="A104" s="7">
        <v>329</v>
      </c>
      <c r="B104" s="8" t="s">
        <v>486</v>
      </c>
      <c r="C104" s="8" t="s">
        <v>33</v>
      </c>
      <c r="D104" s="9">
        <v>39925</v>
      </c>
      <c r="E104" s="8" t="s">
        <v>6</v>
      </c>
      <c r="F104" s="8" t="s">
        <v>392</v>
      </c>
      <c r="G104" s="8" t="s">
        <v>48</v>
      </c>
      <c r="H104" s="8" t="s">
        <v>487</v>
      </c>
      <c r="I104" s="8" t="s">
        <v>488</v>
      </c>
      <c r="J104" s="8"/>
      <c r="K104" s="8" t="s">
        <v>482</v>
      </c>
      <c r="L104" s="8" t="s">
        <v>136</v>
      </c>
      <c r="M104" s="8" t="s">
        <v>278</v>
      </c>
      <c r="N104" s="8" t="s">
        <v>489</v>
      </c>
      <c r="O104" s="8" t="s">
        <v>106</v>
      </c>
      <c r="P104" s="8" t="s">
        <v>45</v>
      </c>
      <c r="Q104" s="8" t="s">
        <v>46</v>
      </c>
      <c r="R104" s="8" t="s">
        <v>47</v>
      </c>
      <c r="S104" s="8" t="s">
        <v>462</v>
      </c>
      <c r="T104" s="8" t="s">
        <v>48</v>
      </c>
      <c r="U104" s="8"/>
    </row>
    <row r="105" spans="1:21" x14ac:dyDescent="0.25">
      <c r="A105" s="7">
        <v>330</v>
      </c>
      <c r="B105" s="8" t="s">
        <v>490</v>
      </c>
      <c r="C105" s="8" t="s">
        <v>33</v>
      </c>
      <c r="D105" s="9">
        <v>39568</v>
      </c>
      <c r="E105" s="8" t="s">
        <v>6</v>
      </c>
      <c r="F105" s="8"/>
      <c r="G105" s="8" t="s">
        <v>48</v>
      </c>
      <c r="H105" s="8"/>
      <c r="I105" s="8" t="s">
        <v>491</v>
      </c>
      <c r="J105" s="8"/>
      <c r="K105" s="8"/>
      <c r="L105" s="8"/>
      <c r="M105" s="8" t="s">
        <v>42</v>
      </c>
      <c r="N105" s="8" t="s">
        <v>76</v>
      </c>
      <c r="O105" s="8" t="s">
        <v>124</v>
      </c>
      <c r="P105" s="8" t="s">
        <v>55</v>
      </c>
      <c r="Q105" s="8" t="s">
        <v>277</v>
      </c>
      <c r="R105" s="8" t="s">
        <v>47</v>
      </c>
      <c r="S105" s="8"/>
      <c r="T105" s="8" t="s">
        <v>48</v>
      </c>
      <c r="U105" s="8"/>
    </row>
    <row r="106" spans="1:21" x14ac:dyDescent="0.25">
      <c r="A106" s="7">
        <v>333</v>
      </c>
      <c r="B106" s="8" t="s">
        <v>493</v>
      </c>
      <c r="C106" s="8" t="s">
        <v>33</v>
      </c>
      <c r="D106" s="9">
        <v>39831</v>
      </c>
      <c r="E106" s="8" t="s">
        <v>6</v>
      </c>
      <c r="F106" s="8"/>
      <c r="G106" s="8" t="s">
        <v>48</v>
      </c>
      <c r="H106" s="8"/>
      <c r="I106" s="8" t="s">
        <v>494</v>
      </c>
      <c r="J106" s="8"/>
      <c r="K106" s="8"/>
      <c r="L106" s="8"/>
      <c r="M106" s="8" t="s">
        <v>69</v>
      </c>
      <c r="N106" s="8" t="s">
        <v>123</v>
      </c>
      <c r="O106" s="8"/>
      <c r="P106" s="8"/>
      <c r="Q106" s="8"/>
      <c r="R106" s="8" t="s">
        <v>47</v>
      </c>
      <c r="S106" s="8" t="s">
        <v>290</v>
      </c>
      <c r="T106" s="8" t="s">
        <v>48</v>
      </c>
      <c r="U106" s="8"/>
    </row>
    <row r="107" spans="1:21" x14ac:dyDescent="0.25">
      <c r="A107" s="7">
        <v>334</v>
      </c>
      <c r="B107" s="8" t="s">
        <v>495</v>
      </c>
      <c r="C107" s="8" t="s">
        <v>33</v>
      </c>
      <c r="D107" s="9">
        <v>39589</v>
      </c>
      <c r="E107" s="8" t="s">
        <v>6</v>
      </c>
      <c r="F107" s="8" t="s">
        <v>496</v>
      </c>
      <c r="G107" s="8" t="s">
        <v>48</v>
      </c>
      <c r="H107" s="8"/>
      <c r="I107" s="8"/>
      <c r="J107" s="8" t="s">
        <v>497</v>
      </c>
      <c r="K107" s="8" t="s">
        <v>498</v>
      </c>
      <c r="L107" s="8" t="s">
        <v>136</v>
      </c>
      <c r="M107" s="8" t="s">
        <v>239</v>
      </c>
      <c r="N107" s="8" t="s">
        <v>378</v>
      </c>
      <c r="O107" s="8" t="s">
        <v>124</v>
      </c>
      <c r="P107" s="8" t="s">
        <v>62</v>
      </c>
      <c r="Q107" s="8" t="s">
        <v>55</v>
      </c>
      <c r="R107" s="8" t="s">
        <v>47</v>
      </c>
      <c r="S107" s="8" t="s">
        <v>499</v>
      </c>
      <c r="T107" s="8" t="s">
        <v>48</v>
      </c>
      <c r="U107" s="8"/>
    </row>
    <row r="108" spans="1:21" x14ac:dyDescent="0.25">
      <c r="A108" s="7">
        <v>336</v>
      </c>
      <c r="B108" s="8" t="s">
        <v>500</v>
      </c>
      <c r="C108" s="8" t="s">
        <v>33</v>
      </c>
      <c r="D108" s="9">
        <v>39722</v>
      </c>
      <c r="E108" s="8" t="s">
        <v>6</v>
      </c>
      <c r="F108" s="8"/>
      <c r="G108" s="8" t="s">
        <v>48</v>
      </c>
      <c r="H108" s="8"/>
      <c r="I108" s="8" t="s">
        <v>501</v>
      </c>
      <c r="J108" s="8"/>
      <c r="K108" s="8"/>
      <c r="L108" s="8"/>
      <c r="M108" s="8" t="s">
        <v>277</v>
      </c>
      <c r="N108" s="8" t="s">
        <v>502</v>
      </c>
      <c r="O108" s="8" t="s">
        <v>106</v>
      </c>
      <c r="P108" s="8"/>
      <c r="Q108" s="8"/>
      <c r="R108" s="8" t="s">
        <v>47</v>
      </c>
      <c r="S108" s="8"/>
      <c r="T108" s="8" t="s">
        <v>48</v>
      </c>
      <c r="U108" s="8"/>
    </row>
    <row r="109" spans="1:21" x14ac:dyDescent="0.25">
      <c r="A109" s="7">
        <v>337</v>
      </c>
      <c r="B109" s="8" t="s">
        <v>503</v>
      </c>
      <c r="C109" s="8" t="s">
        <v>33</v>
      </c>
      <c r="D109" s="9">
        <v>39750</v>
      </c>
      <c r="E109" s="8" t="s">
        <v>6</v>
      </c>
      <c r="F109" s="8" t="s">
        <v>448</v>
      </c>
      <c r="G109" s="8" t="s">
        <v>48</v>
      </c>
      <c r="H109" s="8"/>
      <c r="I109" s="8" t="s">
        <v>504</v>
      </c>
      <c r="J109" s="8"/>
      <c r="K109" s="8" t="s">
        <v>505</v>
      </c>
      <c r="L109" s="8" t="s">
        <v>136</v>
      </c>
      <c r="M109" s="8"/>
      <c r="N109" s="8" t="s">
        <v>506</v>
      </c>
      <c r="O109" s="8" t="s">
        <v>176</v>
      </c>
      <c r="P109" s="8" t="s">
        <v>72</v>
      </c>
      <c r="Q109" s="8" t="s">
        <v>278</v>
      </c>
      <c r="R109" s="8" t="s">
        <v>47</v>
      </c>
      <c r="S109" s="8" t="s">
        <v>507</v>
      </c>
      <c r="T109" s="8" t="s">
        <v>48</v>
      </c>
      <c r="U109" s="8"/>
    </row>
    <row r="110" spans="1:21" x14ac:dyDescent="0.25">
      <c r="A110" s="7">
        <v>338</v>
      </c>
      <c r="B110" s="8" t="s">
        <v>426</v>
      </c>
      <c r="C110" s="8" t="s">
        <v>33</v>
      </c>
      <c r="D110" s="9">
        <v>39614</v>
      </c>
      <c r="E110" s="8" t="s">
        <v>6</v>
      </c>
      <c r="F110" s="8" t="s">
        <v>427</v>
      </c>
      <c r="G110" s="8" t="s">
        <v>48</v>
      </c>
      <c r="H110" s="8"/>
      <c r="I110" s="8" t="s">
        <v>428</v>
      </c>
      <c r="J110" s="8"/>
      <c r="K110" s="8"/>
      <c r="L110" s="8" t="s">
        <v>61</v>
      </c>
      <c r="M110" s="8" t="s">
        <v>429</v>
      </c>
      <c r="N110" s="8" t="s">
        <v>124</v>
      </c>
      <c r="O110" s="8"/>
      <c r="P110" s="8" t="s">
        <v>278</v>
      </c>
      <c r="Q110" s="8" t="s">
        <v>430</v>
      </c>
      <c r="R110" s="8" t="s">
        <v>47</v>
      </c>
      <c r="S110" s="8" t="s">
        <v>431</v>
      </c>
      <c r="T110" s="8" t="s">
        <v>48</v>
      </c>
      <c r="U110" s="8"/>
    </row>
    <row r="111" spans="1:21" x14ac:dyDescent="0.25">
      <c r="A111" s="7">
        <v>339</v>
      </c>
      <c r="B111" s="8" t="s">
        <v>1239</v>
      </c>
      <c r="C111" s="8" t="s">
        <v>33</v>
      </c>
      <c r="D111" s="9">
        <v>39436</v>
      </c>
      <c r="E111" s="8" t="s">
        <v>6</v>
      </c>
      <c r="F111" s="8" t="s">
        <v>1240</v>
      </c>
      <c r="G111" s="8" t="s">
        <v>36</v>
      </c>
      <c r="H111" s="8"/>
      <c r="I111" s="8" t="s">
        <v>1241</v>
      </c>
      <c r="J111" s="8" t="s">
        <v>1242</v>
      </c>
      <c r="K111" s="8" t="s">
        <v>1243</v>
      </c>
      <c r="L111" s="8" t="s">
        <v>41</v>
      </c>
      <c r="M111" s="8" t="s">
        <v>51</v>
      </c>
      <c r="N111" s="8" t="s">
        <v>1244</v>
      </c>
      <c r="O111" s="8" t="s">
        <v>71</v>
      </c>
      <c r="P111" s="8" t="s">
        <v>51</v>
      </c>
      <c r="Q111" s="8" t="s">
        <v>210</v>
      </c>
      <c r="R111" s="8" t="s">
        <v>47</v>
      </c>
      <c r="S111" s="8" t="s">
        <v>1245</v>
      </c>
      <c r="T111" s="8" t="s">
        <v>48</v>
      </c>
      <c r="U111" s="8"/>
    </row>
    <row r="112" spans="1:21" x14ac:dyDescent="0.25">
      <c r="A112" s="7">
        <v>340</v>
      </c>
      <c r="B112" s="8" t="s">
        <v>1438</v>
      </c>
      <c r="C112" s="8" t="s">
        <v>33</v>
      </c>
      <c r="D112" s="9">
        <v>39690</v>
      </c>
      <c r="E112" s="8" t="s">
        <v>6</v>
      </c>
      <c r="F112" s="8"/>
      <c r="G112" s="8" t="s">
        <v>48</v>
      </c>
      <c r="H112" s="8"/>
      <c r="I112" s="8" t="s">
        <v>972</v>
      </c>
      <c r="J112" s="8"/>
      <c r="K112" s="8"/>
      <c r="L112" s="8"/>
      <c r="M112" s="8" t="s">
        <v>210</v>
      </c>
      <c r="N112" s="8" t="s">
        <v>110</v>
      </c>
      <c r="O112" s="8"/>
      <c r="P112" s="8" t="s">
        <v>143</v>
      </c>
      <c r="Q112" s="8" t="s">
        <v>239</v>
      </c>
      <c r="R112" s="8" t="s">
        <v>47</v>
      </c>
      <c r="S112" s="8"/>
      <c r="T112" s="8" t="s">
        <v>48</v>
      </c>
      <c r="U112" s="8" t="s">
        <v>973</v>
      </c>
    </row>
    <row r="113" spans="1:21" x14ac:dyDescent="0.25">
      <c r="A113" s="7">
        <v>341</v>
      </c>
      <c r="B113" s="8" t="s">
        <v>369</v>
      </c>
      <c r="C113" s="8" t="s">
        <v>33</v>
      </c>
      <c r="D113" s="9">
        <v>39636</v>
      </c>
      <c r="E113" s="8" t="s">
        <v>6</v>
      </c>
      <c r="F113" s="8" t="s">
        <v>86</v>
      </c>
      <c r="G113" s="8" t="s">
        <v>48</v>
      </c>
      <c r="H113" s="8"/>
      <c r="I113" s="8"/>
      <c r="J113" s="8"/>
      <c r="K113" s="8" t="s">
        <v>370</v>
      </c>
      <c r="L113" s="8"/>
      <c r="M113" s="8" t="s">
        <v>119</v>
      </c>
      <c r="N113" s="8" t="s">
        <v>110</v>
      </c>
      <c r="O113" s="8"/>
      <c r="P113" s="8" t="s">
        <v>46</v>
      </c>
      <c r="Q113" s="8" t="s">
        <v>278</v>
      </c>
      <c r="R113" s="8" t="s">
        <v>47</v>
      </c>
      <c r="S113" s="8" t="s">
        <v>371</v>
      </c>
      <c r="T113" s="8" t="s">
        <v>48</v>
      </c>
      <c r="U113" s="8"/>
    </row>
    <row r="114" spans="1:21" x14ac:dyDescent="0.25">
      <c r="A114" s="7">
        <v>342</v>
      </c>
      <c r="B114" s="8" t="s">
        <v>616</v>
      </c>
      <c r="C114" s="8" t="s">
        <v>33</v>
      </c>
      <c r="D114" s="9">
        <v>39519</v>
      </c>
      <c r="E114" s="8" t="s">
        <v>6</v>
      </c>
      <c r="F114" s="8" t="s">
        <v>617</v>
      </c>
      <c r="G114" s="8" t="s">
        <v>48</v>
      </c>
      <c r="H114" s="8"/>
      <c r="I114" s="8" t="s">
        <v>618</v>
      </c>
      <c r="J114" s="8" t="s">
        <v>619</v>
      </c>
      <c r="K114" s="8" t="s">
        <v>620</v>
      </c>
      <c r="L114" s="8" t="s">
        <v>136</v>
      </c>
      <c r="M114" s="8" t="s">
        <v>105</v>
      </c>
      <c r="N114" s="8" t="s">
        <v>621</v>
      </c>
      <c r="O114" s="8" t="s">
        <v>622</v>
      </c>
      <c r="P114" s="8" t="s">
        <v>623</v>
      </c>
      <c r="Q114" s="8" t="s">
        <v>221</v>
      </c>
      <c r="R114" s="8" t="s">
        <v>47</v>
      </c>
      <c r="S114" s="8" t="s">
        <v>624</v>
      </c>
      <c r="T114" s="8" t="s">
        <v>48</v>
      </c>
      <c r="U114" s="8"/>
    </row>
    <row r="115" spans="1:21" x14ac:dyDescent="0.25">
      <c r="A115" s="7">
        <v>343</v>
      </c>
      <c r="B115" s="8" t="s">
        <v>638</v>
      </c>
      <c r="C115" s="8" t="s">
        <v>33</v>
      </c>
      <c r="D115" s="9">
        <v>39717</v>
      </c>
      <c r="E115" s="8" t="s">
        <v>6</v>
      </c>
      <c r="F115" s="8" t="s">
        <v>639</v>
      </c>
      <c r="G115" s="8" t="s">
        <v>48</v>
      </c>
      <c r="H115" s="8"/>
      <c r="I115" s="8" t="s">
        <v>640</v>
      </c>
      <c r="J115" s="8" t="s">
        <v>641</v>
      </c>
      <c r="K115" s="8" t="s">
        <v>642</v>
      </c>
      <c r="L115" s="8" t="s">
        <v>136</v>
      </c>
      <c r="M115" s="8" t="s">
        <v>45</v>
      </c>
      <c r="N115" s="8" t="s">
        <v>643</v>
      </c>
      <c r="O115" s="8"/>
      <c r="P115" s="8" t="s">
        <v>45</v>
      </c>
      <c r="Q115" s="8" t="s">
        <v>72</v>
      </c>
      <c r="R115" s="8" t="s">
        <v>47</v>
      </c>
      <c r="S115" s="8"/>
      <c r="T115" s="8" t="s">
        <v>48</v>
      </c>
      <c r="U115" s="8"/>
    </row>
    <row r="116" spans="1:21" x14ac:dyDescent="0.25">
      <c r="A116" s="7">
        <v>344</v>
      </c>
      <c r="B116" s="8" t="s">
        <v>752</v>
      </c>
      <c r="C116" s="8" t="s">
        <v>33</v>
      </c>
      <c r="D116" s="9">
        <v>39584</v>
      </c>
      <c r="E116" s="8" t="s">
        <v>6</v>
      </c>
      <c r="F116" s="8"/>
      <c r="G116" s="8" t="s">
        <v>48</v>
      </c>
      <c r="H116" s="8"/>
      <c r="I116" s="8" t="s">
        <v>753</v>
      </c>
      <c r="J116" s="8"/>
      <c r="K116" s="8"/>
      <c r="L116" s="8"/>
      <c r="M116" s="8" t="s">
        <v>754</v>
      </c>
      <c r="N116" s="8" t="s">
        <v>123</v>
      </c>
      <c r="O116" s="8"/>
      <c r="P116" s="8"/>
      <c r="Q116" s="8"/>
      <c r="R116" s="8" t="s">
        <v>47</v>
      </c>
      <c r="S116" s="8"/>
      <c r="T116" s="8" t="s">
        <v>48</v>
      </c>
      <c r="U116" s="8"/>
    </row>
    <row r="117" spans="1:21" x14ac:dyDescent="0.25">
      <c r="A117" s="7">
        <v>345</v>
      </c>
      <c r="B117" s="8" t="s">
        <v>95</v>
      </c>
      <c r="C117" s="8" t="s">
        <v>33</v>
      </c>
      <c r="D117" s="9">
        <v>39860</v>
      </c>
      <c r="E117" s="8" t="s">
        <v>6</v>
      </c>
      <c r="F117" s="8"/>
      <c r="G117" s="8" t="s">
        <v>48</v>
      </c>
      <c r="H117" s="8"/>
      <c r="I117" s="8" t="s">
        <v>96</v>
      </c>
      <c r="J117" s="8"/>
      <c r="K117" s="8"/>
      <c r="L117" s="8"/>
      <c r="M117" s="8" t="s">
        <v>83</v>
      </c>
      <c r="N117" s="8" t="s">
        <v>97</v>
      </c>
      <c r="O117" s="8"/>
      <c r="P117" s="8"/>
      <c r="Q117" s="8"/>
      <c r="R117" s="8" t="s">
        <v>98</v>
      </c>
      <c r="S117" s="8"/>
      <c r="T117" s="8" t="s">
        <v>48</v>
      </c>
      <c r="U117" s="8"/>
    </row>
    <row r="118" spans="1:21" x14ac:dyDescent="0.25">
      <c r="A118" s="7">
        <v>346</v>
      </c>
      <c r="B118" s="8" t="s">
        <v>804</v>
      </c>
      <c r="C118" s="8" t="s">
        <v>33</v>
      </c>
      <c r="D118" s="9">
        <v>39760</v>
      </c>
      <c r="E118" s="8" t="s">
        <v>6</v>
      </c>
      <c r="F118" s="8" t="s">
        <v>805</v>
      </c>
      <c r="G118" s="8" t="s">
        <v>48</v>
      </c>
      <c r="H118" s="8"/>
      <c r="I118" s="8" t="s">
        <v>806</v>
      </c>
      <c r="J118" s="8" t="s">
        <v>807</v>
      </c>
      <c r="K118" s="8"/>
      <c r="L118" s="8" t="s">
        <v>61</v>
      </c>
      <c r="M118" s="8" t="s">
        <v>65</v>
      </c>
      <c r="N118" s="8" t="s">
        <v>76</v>
      </c>
      <c r="O118" s="8" t="s">
        <v>124</v>
      </c>
      <c r="P118" s="8" t="s">
        <v>45</v>
      </c>
      <c r="Q118" s="8" t="s">
        <v>55</v>
      </c>
      <c r="R118" s="8" t="s">
        <v>47</v>
      </c>
      <c r="S118" s="8" t="s">
        <v>808</v>
      </c>
      <c r="T118" s="8" t="s">
        <v>48</v>
      </c>
      <c r="U118" s="8"/>
    </row>
    <row r="119" spans="1:21" x14ac:dyDescent="0.25">
      <c r="A119" s="7">
        <v>347</v>
      </c>
      <c r="B119" s="8" t="s">
        <v>1267</v>
      </c>
      <c r="C119" s="8" t="s">
        <v>33</v>
      </c>
      <c r="D119" s="9">
        <v>39665</v>
      </c>
      <c r="E119" s="8" t="s">
        <v>6</v>
      </c>
      <c r="F119" s="8" t="s">
        <v>392</v>
      </c>
      <c r="G119" s="8" t="s">
        <v>48</v>
      </c>
      <c r="H119" s="8" t="s">
        <v>1268</v>
      </c>
      <c r="I119" s="8" t="s">
        <v>1269</v>
      </c>
      <c r="J119" s="8" t="s">
        <v>1270</v>
      </c>
      <c r="K119" s="8" t="s">
        <v>1271</v>
      </c>
      <c r="L119" s="8" t="s">
        <v>1272</v>
      </c>
      <c r="M119" s="8" t="s">
        <v>65</v>
      </c>
      <c r="N119" s="8" t="s">
        <v>1273</v>
      </c>
      <c r="O119" s="8" t="s">
        <v>176</v>
      </c>
      <c r="P119" s="8" t="s">
        <v>51</v>
      </c>
      <c r="Q119" s="8" t="s">
        <v>278</v>
      </c>
      <c r="R119" s="8" t="s">
        <v>47</v>
      </c>
      <c r="S119" s="8"/>
      <c r="T119" s="8" t="s">
        <v>48</v>
      </c>
      <c r="U119" s="8"/>
    </row>
    <row r="120" spans="1:21" x14ac:dyDescent="0.25">
      <c r="A120" s="7">
        <v>348</v>
      </c>
      <c r="B120" s="8" t="s">
        <v>1274</v>
      </c>
      <c r="C120" s="8" t="s">
        <v>33</v>
      </c>
      <c r="D120" s="9">
        <v>39470</v>
      </c>
      <c r="E120" s="8" t="s">
        <v>6</v>
      </c>
      <c r="F120" s="8" t="s">
        <v>166</v>
      </c>
      <c r="G120" s="8" t="s">
        <v>48</v>
      </c>
      <c r="H120" s="8"/>
      <c r="I120" s="8"/>
      <c r="J120" s="8" t="s">
        <v>1275</v>
      </c>
      <c r="K120" s="8"/>
      <c r="L120" s="8"/>
      <c r="M120" s="8" t="s">
        <v>235</v>
      </c>
      <c r="N120" s="8" t="s">
        <v>1276</v>
      </c>
      <c r="O120" s="8"/>
      <c r="P120" s="8" t="s">
        <v>278</v>
      </c>
      <c r="Q120" s="8"/>
      <c r="R120" s="8"/>
      <c r="S120" s="8" t="s">
        <v>1277</v>
      </c>
      <c r="T120" s="8" t="s">
        <v>48</v>
      </c>
      <c r="U120" s="8"/>
    </row>
    <row r="121" spans="1:21" x14ac:dyDescent="0.25">
      <c r="A121" s="7">
        <v>349</v>
      </c>
      <c r="B121" s="8" t="s">
        <v>1278</v>
      </c>
      <c r="C121" s="8" t="s">
        <v>33</v>
      </c>
      <c r="D121" s="9">
        <v>39614</v>
      </c>
      <c r="E121" s="8" t="s">
        <v>6</v>
      </c>
      <c r="F121" s="8" t="s">
        <v>166</v>
      </c>
      <c r="G121" s="8" t="s">
        <v>48</v>
      </c>
      <c r="H121" s="8" t="s">
        <v>1279</v>
      </c>
      <c r="I121" s="8"/>
      <c r="J121" s="8"/>
      <c r="K121" s="8"/>
      <c r="L121" s="8"/>
      <c r="M121" s="8" t="s">
        <v>1078</v>
      </c>
      <c r="N121" s="8" t="s">
        <v>124</v>
      </c>
      <c r="O121" s="8"/>
      <c r="P121" s="8" t="s">
        <v>72</v>
      </c>
      <c r="Q121" s="8" t="s">
        <v>1280</v>
      </c>
      <c r="R121" s="8" t="s">
        <v>47</v>
      </c>
      <c r="S121" s="8" t="s">
        <v>1025</v>
      </c>
      <c r="T121" s="8" t="s">
        <v>48</v>
      </c>
      <c r="U121" s="8"/>
    </row>
    <row r="122" spans="1:21" x14ac:dyDescent="0.25">
      <c r="A122" s="7">
        <v>350</v>
      </c>
      <c r="B122" s="8" t="s">
        <v>1264</v>
      </c>
      <c r="C122" s="8" t="s">
        <v>33</v>
      </c>
      <c r="D122" s="9">
        <v>39455</v>
      </c>
      <c r="E122" s="8" t="s">
        <v>6</v>
      </c>
      <c r="F122" s="8" t="s">
        <v>166</v>
      </c>
      <c r="G122" s="8" t="s">
        <v>48</v>
      </c>
      <c r="H122" s="8" t="s">
        <v>1265</v>
      </c>
      <c r="I122" s="8" t="s">
        <v>555</v>
      </c>
      <c r="J122" s="8"/>
      <c r="K122" s="8"/>
      <c r="L122" s="8" t="s">
        <v>1266</v>
      </c>
      <c r="M122" s="8" t="s">
        <v>288</v>
      </c>
      <c r="N122" s="8" t="s">
        <v>242</v>
      </c>
      <c r="O122" s="8"/>
      <c r="P122" s="8" t="s">
        <v>45</v>
      </c>
      <c r="Q122" s="8" t="s">
        <v>46</v>
      </c>
      <c r="R122" s="8" t="s">
        <v>47</v>
      </c>
      <c r="S122" s="8" t="s">
        <v>290</v>
      </c>
      <c r="T122" s="8" t="s">
        <v>48</v>
      </c>
      <c r="U122" s="8"/>
    </row>
    <row r="123" spans="1:21" x14ac:dyDescent="0.25">
      <c r="A123" s="7">
        <v>351</v>
      </c>
      <c r="B123" s="8" t="s">
        <v>1346</v>
      </c>
      <c r="C123" s="8" t="s">
        <v>33</v>
      </c>
      <c r="D123" s="9">
        <v>39917</v>
      </c>
      <c r="E123" s="8" t="s">
        <v>6</v>
      </c>
      <c r="F123" s="8" t="s">
        <v>133</v>
      </c>
      <c r="G123" s="8" t="s">
        <v>48</v>
      </c>
      <c r="H123" s="8"/>
      <c r="I123" s="8"/>
      <c r="J123" s="8" t="s">
        <v>1347</v>
      </c>
      <c r="K123" s="8" t="s">
        <v>1348</v>
      </c>
      <c r="L123" s="8"/>
      <c r="M123" s="8"/>
      <c r="N123" s="8" t="s">
        <v>124</v>
      </c>
      <c r="O123" s="8"/>
      <c r="P123" s="8" t="s">
        <v>45</v>
      </c>
      <c r="Q123" s="8" t="s">
        <v>55</v>
      </c>
      <c r="R123" s="8" t="s">
        <v>47</v>
      </c>
      <c r="S123" s="8" t="s">
        <v>1349</v>
      </c>
      <c r="T123" s="8" t="s">
        <v>48</v>
      </c>
      <c r="U123" s="8" t="s">
        <v>1350</v>
      </c>
    </row>
    <row r="124" spans="1:21" x14ac:dyDescent="0.25">
      <c r="A124" s="7">
        <v>401</v>
      </c>
      <c r="B124" s="8" t="s">
        <v>522</v>
      </c>
      <c r="C124" s="8" t="s">
        <v>33</v>
      </c>
      <c r="D124" s="9">
        <v>17615</v>
      </c>
      <c r="E124" s="8" t="s">
        <v>34</v>
      </c>
      <c r="F124" s="8"/>
      <c r="G124" s="8" t="s">
        <v>48</v>
      </c>
      <c r="H124" s="8"/>
      <c r="I124" s="8" t="s">
        <v>523</v>
      </c>
      <c r="J124" s="8"/>
      <c r="K124" s="8"/>
      <c r="L124" s="8" t="s">
        <v>61</v>
      </c>
      <c r="M124" s="8" t="s">
        <v>55</v>
      </c>
      <c r="N124" s="8" t="s">
        <v>242</v>
      </c>
      <c r="O124" s="8" t="s">
        <v>124</v>
      </c>
      <c r="P124" s="8" t="s">
        <v>278</v>
      </c>
      <c r="Q124" s="8" t="s">
        <v>524</v>
      </c>
      <c r="R124" s="8" t="s">
        <v>47</v>
      </c>
      <c r="S124" s="8"/>
      <c r="T124" s="8" t="s">
        <v>48</v>
      </c>
      <c r="U124" s="8" t="s">
        <v>525</v>
      </c>
    </row>
    <row r="125" spans="1:21" x14ac:dyDescent="0.25">
      <c r="A125" s="7">
        <v>402</v>
      </c>
      <c r="B125" s="8" t="s">
        <v>516</v>
      </c>
      <c r="C125" s="8" t="s">
        <v>33</v>
      </c>
      <c r="D125" s="9">
        <v>35497</v>
      </c>
      <c r="E125" s="8" t="s">
        <v>34</v>
      </c>
      <c r="F125" s="8"/>
      <c r="G125" s="8" t="s">
        <v>48</v>
      </c>
      <c r="H125" s="8"/>
      <c r="I125" s="8" t="s">
        <v>517</v>
      </c>
      <c r="J125" s="8"/>
      <c r="K125" s="8"/>
      <c r="L125" s="8" t="s">
        <v>41</v>
      </c>
      <c r="M125" s="8" t="s">
        <v>235</v>
      </c>
      <c r="N125" s="8" t="s">
        <v>518</v>
      </c>
      <c r="O125" s="8"/>
      <c r="P125" s="8" t="s">
        <v>72</v>
      </c>
      <c r="Q125" s="8" t="s">
        <v>45</v>
      </c>
      <c r="R125" s="8" t="s">
        <v>47</v>
      </c>
      <c r="S125" s="8"/>
      <c r="T125" s="8" t="s">
        <v>48</v>
      </c>
      <c r="U125" s="8"/>
    </row>
    <row r="126" spans="1:21" x14ac:dyDescent="0.25">
      <c r="A126" s="7">
        <v>403</v>
      </c>
      <c r="B126" s="8" t="s">
        <v>519</v>
      </c>
      <c r="C126" s="8" t="s">
        <v>33</v>
      </c>
      <c r="D126" s="9">
        <v>36689</v>
      </c>
      <c r="E126" s="8" t="s">
        <v>34</v>
      </c>
      <c r="F126" s="8"/>
      <c r="G126" s="8" t="s">
        <v>48</v>
      </c>
      <c r="H126" s="8"/>
      <c r="I126" s="8" t="s">
        <v>520</v>
      </c>
      <c r="J126" s="8"/>
      <c r="K126" s="8"/>
      <c r="L126" s="8" t="s">
        <v>61</v>
      </c>
      <c r="M126" s="8" t="s">
        <v>143</v>
      </c>
      <c r="N126" s="8" t="s">
        <v>410</v>
      </c>
      <c r="O126" s="8" t="s">
        <v>110</v>
      </c>
      <c r="P126" s="8" t="s">
        <v>51</v>
      </c>
      <c r="Q126" s="8" t="s">
        <v>51</v>
      </c>
      <c r="R126" s="8" t="s">
        <v>47</v>
      </c>
      <c r="S126" s="8" t="s">
        <v>521</v>
      </c>
      <c r="T126" s="8" t="s">
        <v>48</v>
      </c>
      <c r="U126" s="8"/>
    </row>
    <row r="127" spans="1:21" x14ac:dyDescent="0.25">
      <c r="A127" s="7">
        <v>404</v>
      </c>
      <c r="B127" s="8" t="s">
        <v>549</v>
      </c>
      <c r="C127" s="8" t="s">
        <v>33</v>
      </c>
      <c r="D127" s="9">
        <v>25032</v>
      </c>
      <c r="E127" s="8" t="s">
        <v>34</v>
      </c>
      <c r="F127" s="8"/>
      <c r="G127" s="8" t="s">
        <v>48</v>
      </c>
      <c r="H127" s="8" t="s">
        <v>550</v>
      </c>
      <c r="I127" s="8" t="s">
        <v>551</v>
      </c>
      <c r="J127" s="8"/>
      <c r="K127" s="8"/>
      <c r="L127" s="8" t="s">
        <v>61</v>
      </c>
      <c r="M127" s="8" t="s">
        <v>552</v>
      </c>
      <c r="N127" s="8" t="s">
        <v>114</v>
      </c>
      <c r="O127" s="8"/>
      <c r="P127" s="8" t="s">
        <v>204</v>
      </c>
      <c r="Q127" s="8" t="s">
        <v>45</v>
      </c>
      <c r="R127" s="8" t="s">
        <v>47</v>
      </c>
      <c r="S127" s="8" t="s">
        <v>553</v>
      </c>
      <c r="T127" s="8" t="s">
        <v>48</v>
      </c>
      <c r="U127" s="8"/>
    </row>
    <row r="128" spans="1:21" x14ac:dyDescent="0.25">
      <c r="A128" s="7">
        <v>410</v>
      </c>
      <c r="B128" s="8" t="s">
        <v>268</v>
      </c>
      <c r="C128" s="8" t="s">
        <v>33</v>
      </c>
      <c r="D128" s="9">
        <v>39499</v>
      </c>
      <c r="E128" s="8" t="s">
        <v>7</v>
      </c>
      <c r="F128" s="8"/>
      <c r="G128" s="8" t="s">
        <v>48</v>
      </c>
      <c r="H128" s="8"/>
      <c r="I128" s="8" t="s">
        <v>269</v>
      </c>
      <c r="J128" s="8"/>
      <c r="K128" s="8"/>
      <c r="L128" s="8"/>
      <c r="M128" s="8"/>
      <c r="N128" s="8" t="s">
        <v>270</v>
      </c>
      <c r="O128" s="8"/>
      <c r="P128" s="8"/>
      <c r="Q128" s="8"/>
      <c r="R128" s="8" t="s">
        <v>98</v>
      </c>
      <c r="S128" s="8"/>
      <c r="T128" s="8" t="s">
        <v>48</v>
      </c>
      <c r="U128" s="8"/>
    </row>
    <row r="129" spans="1:21" x14ac:dyDescent="0.25">
      <c r="A129" s="7">
        <v>411</v>
      </c>
      <c r="B129" s="8" t="s">
        <v>605</v>
      </c>
      <c r="C129" s="8" t="s">
        <v>33</v>
      </c>
      <c r="D129" s="9">
        <v>39625</v>
      </c>
      <c r="E129" s="8" t="s">
        <v>7</v>
      </c>
      <c r="F129" s="8"/>
      <c r="G129" s="8" t="s">
        <v>48</v>
      </c>
      <c r="H129" s="8"/>
      <c r="I129" s="8" t="s">
        <v>606</v>
      </c>
      <c r="J129" s="8"/>
      <c r="K129" s="8"/>
      <c r="L129" s="8"/>
      <c r="M129" s="8" t="s">
        <v>607</v>
      </c>
      <c r="N129" s="8" t="s">
        <v>608</v>
      </c>
      <c r="O129" s="8"/>
      <c r="P129" s="8"/>
      <c r="Q129" s="8"/>
      <c r="R129" s="8" t="s">
        <v>47</v>
      </c>
      <c r="S129" s="8"/>
      <c r="T129" s="8" t="s">
        <v>48</v>
      </c>
      <c r="U129" s="8"/>
    </row>
    <row r="130" spans="1:21" x14ac:dyDescent="0.25">
      <c r="A130" s="7">
        <v>412</v>
      </c>
      <c r="B130" s="8" t="s">
        <v>609</v>
      </c>
      <c r="C130" s="8" t="s">
        <v>33</v>
      </c>
      <c r="D130" s="9">
        <v>39668</v>
      </c>
      <c r="E130" s="8" t="s">
        <v>7</v>
      </c>
      <c r="F130" s="8"/>
      <c r="G130" s="8" t="s">
        <v>48</v>
      </c>
      <c r="H130" s="8"/>
      <c r="I130" s="8" t="s">
        <v>610</v>
      </c>
      <c r="J130" s="8"/>
      <c r="K130" s="8"/>
      <c r="L130" s="8"/>
      <c r="M130" s="8" t="s">
        <v>83</v>
      </c>
      <c r="N130" s="8" t="s">
        <v>611</v>
      </c>
      <c r="O130" s="8"/>
      <c r="P130" s="8"/>
      <c r="Q130" s="8"/>
      <c r="R130" s="8" t="s">
        <v>47</v>
      </c>
      <c r="S130" s="8"/>
      <c r="T130" s="8" t="s">
        <v>48</v>
      </c>
      <c r="U130" s="8"/>
    </row>
    <row r="131" spans="1:21" x14ac:dyDescent="0.25">
      <c r="A131" s="7">
        <v>413</v>
      </c>
      <c r="B131" s="8" t="s">
        <v>612</v>
      </c>
      <c r="C131" s="8" t="s">
        <v>33</v>
      </c>
      <c r="D131" s="9">
        <v>39625</v>
      </c>
      <c r="E131" s="8" t="s">
        <v>7</v>
      </c>
      <c r="F131" s="8"/>
      <c r="G131" s="8" t="s">
        <v>48</v>
      </c>
      <c r="H131" s="8"/>
      <c r="I131" s="8"/>
      <c r="J131" s="8"/>
      <c r="K131" s="8"/>
      <c r="L131" s="8"/>
      <c r="M131" s="8" t="s">
        <v>613</v>
      </c>
      <c r="N131" s="8" t="s">
        <v>614</v>
      </c>
      <c r="O131" s="8"/>
      <c r="P131" s="8"/>
      <c r="Q131" s="8"/>
      <c r="R131" s="8" t="s">
        <v>47</v>
      </c>
      <c r="S131" s="8" t="s">
        <v>615</v>
      </c>
      <c r="T131" s="8" t="s">
        <v>48</v>
      </c>
      <c r="U131" s="8"/>
    </row>
    <row r="132" spans="1:21" x14ac:dyDescent="0.25">
      <c r="A132" s="7">
        <v>415</v>
      </c>
      <c r="B132" s="8" t="s">
        <v>625</v>
      </c>
      <c r="C132" s="8" t="s">
        <v>33</v>
      </c>
      <c r="D132" s="9">
        <v>0</v>
      </c>
      <c r="E132" s="8" t="s">
        <v>7</v>
      </c>
      <c r="F132" s="8"/>
      <c r="G132" s="8" t="s">
        <v>48</v>
      </c>
      <c r="H132" s="8"/>
      <c r="I132" s="8" t="s">
        <v>626</v>
      </c>
      <c r="J132" s="8"/>
      <c r="K132" s="8"/>
      <c r="L132" s="8"/>
      <c r="M132" s="8" t="s">
        <v>180</v>
      </c>
      <c r="N132" s="8" t="s">
        <v>627</v>
      </c>
      <c r="O132" s="8"/>
      <c r="P132" s="8"/>
      <c r="Q132" s="8"/>
      <c r="R132" s="8" t="s">
        <v>98</v>
      </c>
      <c r="S132" s="8"/>
      <c r="T132" s="8" t="s">
        <v>48</v>
      </c>
      <c r="U132" s="8"/>
    </row>
    <row r="133" spans="1:21" x14ac:dyDescent="0.25">
      <c r="A133" s="7">
        <v>416</v>
      </c>
      <c r="B133" s="8" t="s">
        <v>628</v>
      </c>
      <c r="C133" s="8" t="s">
        <v>33</v>
      </c>
      <c r="D133" s="9">
        <v>39716</v>
      </c>
      <c r="E133" s="8" t="s">
        <v>7</v>
      </c>
      <c r="F133" s="8"/>
      <c r="G133" s="8" t="s">
        <v>48</v>
      </c>
      <c r="H133" s="8"/>
      <c r="I133" s="8" t="s">
        <v>629</v>
      </c>
      <c r="J133" s="8"/>
      <c r="K133" s="8"/>
      <c r="L133" s="8"/>
      <c r="M133" s="8" t="s">
        <v>630</v>
      </c>
      <c r="N133" s="8" t="s">
        <v>461</v>
      </c>
      <c r="O133" s="8"/>
      <c r="P133" s="8"/>
      <c r="Q133" s="8"/>
      <c r="R133" s="8" t="s">
        <v>47</v>
      </c>
      <c r="S133" s="8"/>
      <c r="T133" s="8" t="s">
        <v>48</v>
      </c>
      <c r="U133" s="8"/>
    </row>
    <row r="134" spans="1:21" x14ac:dyDescent="0.25">
      <c r="A134" s="7">
        <v>417</v>
      </c>
      <c r="B134" s="8" t="s">
        <v>631</v>
      </c>
      <c r="C134" s="8" t="s">
        <v>33</v>
      </c>
      <c r="D134" s="9">
        <v>39643</v>
      </c>
      <c r="E134" s="8" t="s">
        <v>7</v>
      </c>
      <c r="F134" s="8" t="s">
        <v>448</v>
      </c>
      <c r="G134" s="8" t="s">
        <v>48</v>
      </c>
      <c r="H134" s="8" t="s">
        <v>632</v>
      </c>
      <c r="I134" s="8" t="s">
        <v>633</v>
      </c>
      <c r="J134" s="8" t="s">
        <v>634</v>
      </c>
      <c r="K134" s="8" t="s">
        <v>635</v>
      </c>
      <c r="L134" s="8"/>
      <c r="M134" s="8" t="s">
        <v>42</v>
      </c>
      <c r="N134" s="8" t="s">
        <v>636</v>
      </c>
      <c r="O134" s="8" t="s">
        <v>622</v>
      </c>
      <c r="P134" s="8" t="s">
        <v>46</v>
      </c>
      <c r="Q134" s="8" t="s">
        <v>69</v>
      </c>
      <c r="R134" s="8" t="s">
        <v>47</v>
      </c>
      <c r="S134" s="8" t="s">
        <v>637</v>
      </c>
      <c r="T134" s="8" t="s">
        <v>48</v>
      </c>
      <c r="U134" s="8"/>
    </row>
    <row r="135" spans="1:21" x14ac:dyDescent="0.25">
      <c r="A135" s="7">
        <v>419</v>
      </c>
      <c r="B135" s="8" t="s">
        <v>644</v>
      </c>
      <c r="C135" s="8" t="s">
        <v>33</v>
      </c>
      <c r="D135" s="9">
        <v>39661</v>
      </c>
      <c r="E135" s="8" t="s">
        <v>7</v>
      </c>
      <c r="F135" s="8"/>
      <c r="G135" s="8" t="s">
        <v>48</v>
      </c>
      <c r="H135" s="8"/>
      <c r="I135" s="8" t="s">
        <v>645</v>
      </c>
      <c r="J135" s="8"/>
      <c r="K135" s="8"/>
      <c r="L135" s="8"/>
      <c r="M135" s="8" t="s">
        <v>72</v>
      </c>
      <c r="N135" s="8" t="s">
        <v>646</v>
      </c>
      <c r="O135" s="8"/>
      <c r="P135" s="8"/>
      <c r="Q135" s="8"/>
      <c r="R135" s="8" t="s">
        <v>47</v>
      </c>
      <c r="S135" s="8"/>
      <c r="T135" s="8" t="s">
        <v>48</v>
      </c>
      <c r="U135" s="8"/>
    </row>
    <row r="136" spans="1:21" x14ac:dyDescent="0.25">
      <c r="A136" s="7">
        <v>420</v>
      </c>
      <c r="B136" s="8" t="s">
        <v>647</v>
      </c>
      <c r="C136" s="8" t="s">
        <v>33</v>
      </c>
      <c r="D136" s="9">
        <v>39824</v>
      </c>
      <c r="E136" s="8" t="s">
        <v>7</v>
      </c>
      <c r="F136" s="8"/>
      <c r="G136" s="8" t="s">
        <v>48</v>
      </c>
      <c r="H136" s="8"/>
      <c r="I136" s="8" t="s">
        <v>648</v>
      </c>
      <c r="J136" s="8"/>
      <c r="K136" s="8"/>
      <c r="L136" s="8"/>
      <c r="M136" s="8" t="s">
        <v>649</v>
      </c>
      <c r="N136" s="8" t="s">
        <v>461</v>
      </c>
      <c r="O136" s="8"/>
      <c r="P136" s="8"/>
      <c r="Q136" s="8"/>
      <c r="R136" s="8" t="s">
        <v>47</v>
      </c>
      <c r="S136" s="8"/>
      <c r="T136" s="8" t="s">
        <v>48</v>
      </c>
      <c r="U136" s="8"/>
    </row>
    <row r="137" spans="1:21" x14ac:dyDescent="0.25">
      <c r="A137" s="7">
        <v>421</v>
      </c>
      <c r="B137" s="8" t="s">
        <v>650</v>
      </c>
      <c r="C137" s="8" t="s">
        <v>33</v>
      </c>
      <c r="D137" s="9">
        <v>39672</v>
      </c>
      <c r="E137" s="8" t="s">
        <v>7</v>
      </c>
      <c r="F137" s="8"/>
      <c r="G137" s="8" t="s">
        <v>48</v>
      </c>
      <c r="H137" s="8"/>
      <c r="I137" s="8" t="s">
        <v>651</v>
      </c>
      <c r="J137" s="8"/>
      <c r="K137" s="8"/>
      <c r="L137" s="8"/>
      <c r="M137" s="8" t="s">
        <v>281</v>
      </c>
      <c r="N137" s="8" t="s">
        <v>461</v>
      </c>
      <c r="O137" s="8" t="s">
        <v>114</v>
      </c>
      <c r="P137" s="8"/>
      <c r="Q137" s="8"/>
      <c r="R137" s="8" t="s">
        <v>47</v>
      </c>
      <c r="S137" s="8"/>
      <c r="T137" s="8" t="s">
        <v>48</v>
      </c>
      <c r="U137" s="8"/>
    </row>
    <row r="138" spans="1:21" x14ac:dyDescent="0.25">
      <c r="A138" s="7">
        <v>422</v>
      </c>
      <c r="B138" s="8" t="s">
        <v>652</v>
      </c>
      <c r="C138" s="8" t="s">
        <v>33</v>
      </c>
      <c r="D138" s="9">
        <v>39737</v>
      </c>
      <c r="E138" s="8" t="s">
        <v>7</v>
      </c>
      <c r="F138" s="8"/>
      <c r="G138" s="8" t="s">
        <v>48</v>
      </c>
      <c r="H138" s="8"/>
      <c r="I138" s="8" t="s">
        <v>653</v>
      </c>
      <c r="J138" s="8"/>
      <c r="K138" s="8"/>
      <c r="L138" s="8"/>
      <c r="M138" s="8" t="s">
        <v>72</v>
      </c>
      <c r="N138" s="8" t="s">
        <v>114</v>
      </c>
      <c r="O138" s="8"/>
      <c r="P138" s="8"/>
      <c r="Q138" s="8"/>
      <c r="R138" s="8" t="s">
        <v>47</v>
      </c>
      <c r="S138" s="8"/>
      <c r="T138" s="8" t="s">
        <v>48</v>
      </c>
      <c r="U138" s="8"/>
    </row>
    <row r="139" spans="1:21" x14ac:dyDescent="0.25">
      <c r="A139" s="7">
        <v>423</v>
      </c>
      <c r="B139" s="8" t="s">
        <v>654</v>
      </c>
      <c r="C139" s="8" t="s">
        <v>33</v>
      </c>
      <c r="D139" s="9">
        <v>39623</v>
      </c>
      <c r="E139" s="8" t="s">
        <v>7</v>
      </c>
      <c r="F139" s="8"/>
      <c r="G139" s="8" t="s">
        <v>48</v>
      </c>
      <c r="H139" s="8"/>
      <c r="I139" s="8" t="s">
        <v>655</v>
      </c>
      <c r="J139" s="8"/>
      <c r="K139" s="8"/>
      <c r="L139" s="8"/>
      <c r="M139" s="8" t="s">
        <v>51</v>
      </c>
      <c r="N139" s="8" t="s">
        <v>123</v>
      </c>
      <c r="O139" s="8"/>
      <c r="P139" s="8"/>
      <c r="Q139" s="8"/>
      <c r="R139" s="8" t="s">
        <v>47</v>
      </c>
      <c r="S139" s="8"/>
      <c r="T139" s="8" t="s">
        <v>48</v>
      </c>
      <c r="U139" s="8"/>
    </row>
    <row r="140" spans="1:21" x14ac:dyDescent="0.25">
      <c r="A140" s="7">
        <v>424</v>
      </c>
      <c r="B140" s="8" t="s">
        <v>656</v>
      </c>
      <c r="C140" s="8" t="s">
        <v>33</v>
      </c>
      <c r="D140" s="9">
        <v>39687</v>
      </c>
      <c r="E140" s="8" t="s">
        <v>7</v>
      </c>
      <c r="F140" s="8"/>
      <c r="G140" s="8" t="s">
        <v>48</v>
      </c>
      <c r="H140" s="8"/>
      <c r="I140" s="8" t="s">
        <v>657</v>
      </c>
      <c r="J140" s="8"/>
      <c r="K140" s="8"/>
      <c r="L140" s="8"/>
      <c r="M140" s="8" t="s">
        <v>658</v>
      </c>
      <c r="N140" s="8" t="s">
        <v>659</v>
      </c>
      <c r="O140" s="8"/>
      <c r="P140" s="8"/>
      <c r="Q140" s="8"/>
      <c r="R140" s="8" t="s">
        <v>47</v>
      </c>
      <c r="S140" s="8"/>
      <c r="T140" s="8" t="s">
        <v>48</v>
      </c>
      <c r="U140" s="8"/>
    </row>
    <row r="141" spans="1:21" x14ac:dyDescent="0.25">
      <c r="A141" s="7">
        <v>426</v>
      </c>
      <c r="B141" s="8" t="s">
        <v>669</v>
      </c>
      <c r="C141" s="8" t="s">
        <v>33</v>
      </c>
      <c r="D141" s="9">
        <v>40192</v>
      </c>
      <c r="E141" s="8" t="s">
        <v>7</v>
      </c>
      <c r="F141" s="8"/>
      <c r="G141" s="8" t="s">
        <v>48</v>
      </c>
      <c r="H141" s="8"/>
      <c r="I141" s="8" t="s">
        <v>670</v>
      </c>
      <c r="J141" s="8"/>
      <c r="K141" s="8"/>
      <c r="L141" s="8"/>
      <c r="M141" s="8"/>
      <c r="N141" s="8" t="s">
        <v>52</v>
      </c>
      <c r="O141" s="8"/>
      <c r="P141" s="8"/>
      <c r="Q141" s="8"/>
      <c r="R141" s="8" t="s">
        <v>47</v>
      </c>
      <c r="S141" s="8"/>
      <c r="T141" s="8" t="s">
        <v>48</v>
      </c>
      <c r="U141" s="8"/>
    </row>
    <row r="142" spans="1:21" x14ac:dyDescent="0.25">
      <c r="A142" s="7">
        <v>427</v>
      </c>
      <c r="B142" s="8" t="s">
        <v>671</v>
      </c>
      <c r="C142" s="8" t="s">
        <v>33</v>
      </c>
      <c r="D142" s="9">
        <v>39713</v>
      </c>
      <c r="E142" s="8" t="s">
        <v>7</v>
      </c>
      <c r="F142" s="8" t="s">
        <v>86</v>
      </c>
      <c r="G142" s="8" t="s">
        <v>48</v>
      </c>
      <c r="H142" s="8"/>
      <c r="I142" s="8" t="s">
        <v>672</v>
      </c>
      <c r="J142" s="8" t="s">
        <v>673</v>
      </c>
      <c r="K142" s="8" t="s">
        <v>674</v>
      </c>
      <c r="L142" s="8" t="s">
        <v>90</v>
      </c>
      <c r="M142" s="8" t="s">
        <v>675</v>
      </c>
      <c r="N142" s="8" t="s">
        <v>202</v>
      </c>
      <c r="O142" s="8"/>
      <c r="P142" s="8" t="s">
        <v>93</v>
      </c>
      <c r="Q142" s="8" t="s">
        <v>72</v>
      </c>
      <c r="R142" s="8" t="s">
        <v>47</v>
      </c>
      <c r="S142" s="8" t="s">
        <v>676</v>
      </c>
      <c r="T142" s="8" t="s">
        <v>48</v>
      </c>
      <c r="U142" s="8"/>
    </row>
    <row r="143" spans="1:21" x14ac:dyDescent="0.25">
      <c r="A143" s="7">
        <v>428</v>
      </c>
      <c r="B143" s="8" t="s">
        <v>677</v>
      </c>
      <c r="C143" s="8" t="s">
        <v>33</v>
      </c>
      <c r="D143" s="9">
        <v>39625</v>
      </c>
      <c r="E143" s="8" t="s">
        <v>7</v>
      </c>
      <c r="F143" s="8"/>
      <c r="G143" s="8" t="s">
        <v>48</v>
      </c>
      <c r="H143" s="8"/>
      <c r="I143" s="8" t="s">
        <v>678</v>
      </c>
      <c r="J143" s="8"/>
      <c r="K143" s="8"/>
      <c r="L143" s="8"/>
      <c r="M143" s="8"/>
      <c r="N143" s="8" t="s">
        <v>270</v>
      </c>
      <c r="O143" s="8"/>
      <c r="P143" s="8"/>
      <c r="Q143" s="8"/>
      <c r="R143" s="8" t="s">
        <v>47</v>
      </c>
      <c r="S143" s="8"/>
      <c r="T143" s="8" t="s">
        <v>48</v>
      </c>
      <c r="U143" s="8"/>
    </row>
    <row r="144" spans="1:21" x14ac:dyDescent="0.25">
      <c r="A144" s="7">
        <v>429</v>
      </c>
      <c r="B144" s="8" t="s">
        <v>679</v>
      </c>
      <c r="C144" s="8" t="s">
        <v>33</v>
      </c>
      <c r="D144" s="9">
        <v>39842</v>
      </c>
      <c r="E144" s="8" t="s">
        <v>7</v>
      </c>
      <c r="F144" s="8"/>
      <c r="G144" s="8" t="s">
        <v>48</v>
      </c>
      <c r="H144" s="8"/>
      <c r="I144" s="8" t="s">
        <v>680</v>
      </c>
      <c r="J144" s="8"/>
      <c r="K144" s="8"/>
      <c r="L144" s="8"/>
      <c r="M144" s="8" t="s">
        <v>552</v>
      </c>
      <c r="N144" s="8" t="s">
        <v>681</v>
      </c>
      <c r="O144" s="8" t="s">
        <v>682</v>
      </c>
      <c r="P144" s="8"/>
      <c r="Q144" s="8"/>
      <c r="R144" s="8" t="s">
        <v>47</v>
      </c>
      <c r="S144" s="8"/>
      <c r="T144" s="8" t="s">
        <v>48</v>
      </c>
      <c r="U144" s="8"/>
    </row>
    <row r="145" spans="1:21" x14ac:dyDescent="0.25">
      <c r="A145" s="7">
        <v>430</v>
      </c>
      <c r="B145" s="8" t="s">
        <v>683</v>
      </c>
      <c r="C145" s="8" t="s">
        <v>33</v>
      </c>
      <c r="D145" s="9">
        <v>39625</v>
      </c>
      <c r="E145" s="8" t="s">
        <v>7</v>
      </c>
      <c r="F145" s="8"/>
      <c r="G145" s="8" t="s">
        <v>48</v>
      </c>
      <c r="H145" s="8"/>
      <c r="I145" s="8" t="s">
        <v>684</v>
      </c>
      <c r="J145" s="8"/>
      <c r="K145" s="8"/>
      <c r="L145" s="8"/>
      <c r="M145" s="8" t="s">
        <v>45</v>
      </c>
      <c r="N145" s="8" t="s">
        <v>685</v>
      </c>
      <c r="O145" s="8"/>
      <c r="P145" s="8"/>
      <c r="Q145" s="8"/>
      <c r="R145" s="8" t="s">
        <v>47</v>
      </c>
      <c r="S145" s="8"/>
      <c r="T145" s="8" t="s">
        <v>48</v>
      </c>
      <c r="U145" s="8"/>
    </row>
    <row r="146" spans="1:21" x14ac:dyDescent="0.25">
      <c r="A146" s="7">
        <v>431</v>
      </c>
      <c r="B146" s="8" t="s">
        <v>686</v>
      </c>
      <c r="C146" s="8" t="s">
        <v>33</v>
      </c>
      <c r="D146" s="9">
        <v>39483</v>
      </c>
      <c r="E146" s="8" t="s">
        <v>7</v>
      </c>
      <c r="F146" s="8" t="s">
        <v>687</v>
      </c>
      <c r="G146" s="8" t="s">
        <v>48</v>
      </c>
      <c r="H146" s="8"/>
      <c r="I146" s="8" t="s">
        <v>688</v>
      </c>
      <c r="J146" s="8" t="s">
        <v>689</v>
      </c>
      <c r="K146" s="8" t="s">
        <v>690</v>
      </c>
      <c r="L146" s="8"/>
      <c r="M146" s="8" t="s">
        <v>691</v>
      </c>
      <c r="N146" s="8" t="s">
        <v>518</v>
      </c>
      <c r="O146" s="8" t="s">
        <v>461</v>
      </c>
      <c r="P146" s="8"/>
      <c r="Q146" s="8"/>
      <c r="R146" s="8" t="s">
        <v>47</v>
      </c>
      <c r="S146" s="8"/>
      <c r="T146" s="8" t="s">
        <v>48</v>
      </c>
      <c r="U146" s="8"/>
    </row>
    <row r="147" spans="1:21" x14ac:dyDescent="0.25">
      <c r="A147" s="7">
        <v>432</v>
      </c>
      <c r="B147" s="8" t="s">
        <v>692</v>
      </c>
      <c r="C147" s="8" t="s">
        <v>33</v>
      </c>
      <c r="D147" s="9">
        <v>39490</v>
      </c>
      <c r="E147" s="8" t="s">
        <v>7</v>
      </c>
      <c r="F147" s="8"/>
      <c r="G147" s="8" t="s">
        <v>48</v>
      </c>
      <c r="H147" s="8"/>
      <c r="I147" s="8" t="s">
        <v>693</v>
      </c>
      <c r="J147" s="8"/>
      <c r="K147" s="8"/>
      <c r="L147" s="8"/>
      <c r="M147" s="8" t="s">
        <v>694</v>
      </c>
      <c r="N147" s="8" t="s">
        <v>124</v>
      </c>
      <c r="O147" s="8"/>
      <c r="P147" s="8"/>
      <c r="Q147" s="8"/>
      <c r="R147" s="8" t="s">
        <v>47</v>
      </c>
      <c r="S147" s="8" t="s">
        <v>695</v>
      </c>
      <c r="T147" s="8" t="s">
        <v>48</v>
      </c>
      <c r="U147" s="8"/>
    </row>
    <row r="148" spans="1:21" x14ac:dyDescent="0.25">
      <c r="A148" s="7">
        <v>433</v>
      </c>
      <c r="B148" s="8" t="s">
        <v>696</v>
      </c>
      <c r="C148" s="8" t="s">
        <v>33</v>
      </c>
      <c r="D148" s="9">
        <v>40050</v>
      </c>
      <c r="E148" s="8" t="s">
        <v>7</v>
      </c>
      <c r="F148" s="8"/>
      <c r="G148" s="8" t="s">
        <v>48</v>
      </c>
      <c r="H148" s="8"/>
      <c r="I148" s="8" t="s">
        <v>697</v>
      </c>
      <c r="J148" s="8"/>
      <c r="K148" s="8"/>
      <c r="L148" s="8"/>
      <c r="M148" s="8"/>
      <c r="N148" s="8" t="s">
        <v>698</v>
      </c>
      <c r="O148" s="8" t="s">
        <v>699</v>
      </c>
      <c r="P148" s="8"/>
      <c r="Q148" s="8"/>
      <c r="R148" s="8" t="s">
        <v>47</v>
      </c>
      <c r="S148" s="8"/>
      <c r="T148" s="8" t="s">
        <v>48</v>
      </c>
      <c r="U148" s="8"/>
    </row>
    <row r="149" spans="1:21" x14ac:dyDescent="0.25">
      <c r="A149" s="7">
        <v>434</v>
      </c>
      <c r="B149" s="8" t="s">
        <v>700</v>
      </c>
      <c r="C149" s="8" t="s">
        <v>33</v>
      </c>
      <c r="D149" s="9">
        <v>39668</v>
      </c>
      <c r="E149" s="8" t="s">
        <v>7</v>
      </c>
      <c r="F149" s="8"/>
      <c r="G149" s="8" t="s">
        <v>48</v>
      </c>
      <c r="H149" s="8"/>
      <c r="I149" s="8" t="s">
        <v>701</v>
      </c>
      <c r="J149" s="8"/>
      <c r="K149" s="8"/>
      <c r="L149" s="8"/>
      <c r="M149" s="8" t="s">
        <v>119</v>
      </c>
      <c r="N149" s="8" t="s">
        <v>702</v>
      </c>
      <c r="O149" s="8"/>
      <c r="P149" s="8"/>
      <c r="Q149" s="8"/>
      <c r="R149" s="8" t="s">
        <v>47</v>
      </c>
      <c r="S149" s="8"/>
      <c r="T149" s="8" t="s">
        <v>48</v>
      </c>
      <c r="U149" s="8"/>
    </row>
    <row r="150" spans="1:21" x14ac:dyDescent="0.25">
      <c r="A150" s="7">
        <v>435</v>
      </c>
      <c r="B150" s="8" t="s">
        <v>703</v>
      </c>
      <c r="C150" s="8" t="s">
        <v>33</v>
      </c>
      <c r="D150" s="9">
        <v>39716</v>
      </c>
      <c r="E150" s="8" t="s">
        <v>7</v>
      </c>
      <c r="F150" s="8" t="s">
        <v>166</v>
      </c>
      <c r="G150" s="8" t="s">
        <v>48</v>
      </c>
      <c r="H150" s="8"/>
      <c r="I150" s="8" t="s">
        <v>704</v>
      </c>
      <c r="J150" s="8" t="s">
        <v>705</v>
      </c>
      <c r="K150" s="8" t="s">
        <v>706</v>
      </c>
      <c r="L150" s="8" t="s">
        <v>90</v>
      </c>
      <c r="M150" s="8" t="s">
        <v>278</v>
      </c>
      <c r="N150" s="8" t="s">
        <v>707</v>
      </c>
      <c r="O150" s="8" t="s">
        <v>461</v>
      </c>
      <c r="P150" s="8" t="s">
        <v>45</v>
      </c>
      <c r="Q150" s="8" t="s">
        <v>55</v>
      </c>
      <c r="R150" s="8" t="s">
        <v>47</v>
      </c>
      <c r="S150" s="8"/>
      <c r="T150" s="8" t="s">
        <v>48</v>
      </c>
      <c r="U150" s="8"/>
    </row>
    <row r="151" spans="1:21" x14ac:dyDescent="0.25">
      <c r="A151" s="7">
        <v>436</v>
      </c>
      <c r="B151" s="8" t="s">
        <v>708</v>
      </c>
      <c r="C151" s="8" t="s">
        <v>33</v>
      </c>
      <c r="D151" s="9">
        <v>39681</v>
      </c>
      <c r="E151" s="8" t="s">
        <v>7</v>
      </c>
      <c r="F151" s="8"/>
      <c r="G151" s="8" t="s">
        <v>48</v>
      </c>
      <c r="H151" s="8"/>
      <c r="I151" s="8" t="s">
        <v>709</v>
      </c>
      <c r="J151" s="8"/>
      <c r="K151" s="8"/>
      <c r="L151" s="8"/>
      <c r="M151" s="8" t="s">
        <v>581</v>
      </c>
      <c r="N151" s="8" t="s">
        <v>52</v>
      </c>
      <c r="O151" s="8"/>
      <c r="P151" s="8"/>
      <c r="Q151" s="8"/>
      <c r="R151" s="8" t="s">
        <v>47</v>
      </c>
      <c r="S151" s="8"/>
      <c r="T151" s="8" t="s">
        <v>48</v>
      </c>
      <c r="U151" s="8"/>
    </row>
    <row r="152" spans="1:21" x14ac:dyDescent="0.25">
      <c r="A152" s="7">
        <v>437</v>
      </c>
      <c r="B152" s="8" t="s">
        <v>710</v>
      </c>
      <c r="C152" s="8" t="s">
        <v>33</v>
      </c>
      <c r="D152" s="9">
        <v>39832</v>
      </c>
      <c r="E152" s="8" t="s">
        <v>7</v>
      </c>
      <c r="F152" s="8"/>
      <c r="G152" s="8" t="s">
        <v>48</v>
      </c>
      <c r="H152" s="8"/>
      <c r="I152" s="8" t="s">
        <v>711</v>
      </c>
      <c r="J152" s="8"/>
      <c r="K152" s="8"/>
      <c r="L152" s="8"/>
      <c r="M152" s="8" t="s">
        <v>247</v>
      </c>
      <c r="N152" s="8" t="s">
        <v>106</v>
      </c>
      <c r="O152" s="8"/>
      <c r="P152" s="8"/>
      <c r="Q152" s="8"/>
      <c r="R152" s="8" t="s">
        <v>47</v>
      </c>
      <c r="S152" s="8"/>
      <c r="T152" s="8" t="s">
        <v>48</v>
      </c>
      <c r="U152" s="8"/>
    </row>
    <row r="153" spans="1:21" x14ac:dyDescent="0.25">
      <c r="A153" s="7">
        <v>438</v>
      </c>
      <c r="B153" s="8" t="s">
        <v>712</v>
      </c>
      <c r="C153" s="8" t="s">
        <v>33</v>
      </c>
      <c r="D153" s="9">
        <v>39642</v>
      </c>
      <c r="E153" s="8" t="s">
        <v>7</v>
      </c>
      <c r="F153" s="8" t="s">
        <v>713</v>
      </c>
      <c r="G153" s="8" t="s">
        <v>48</v>
      </c>
      <c r="H153" s="8"/>
      <c r="I153" s="8" t="s">
        <v>714</v>
      </c>
      <c r="J153" s="8" t="s">
        <v>715</v>
      </c>
      <c r="K153" s="8" t="s">
        <v>716</v>
      </c>
      <c r="L153" s="8" t="s">
        <v>717</v>
      </c>
      <c r="M153" s="8" t="s">
        <v>122</v>
      </c>
      <c r="N153" s="8" t="s">
        <v>123</v>
      </c>
      <c r="O153" s="8"/>
      <c r="P153" s="8" t="s">
        <v>55</v>
      </c>
      <c r="Q153" s="8" t="s">
        <v>362</v>
      </c>
      <c r="R153" s="8" t="s">
        <v>47</v>
      </c>
      <c r="S153" s="8"/>
      <c r="T153" s="8" t="s">
        <v>48</v>
      </c>
      <c r="U153" s="8"/>
    </row>
    <row r="154" spans="1:21" x14ac:dyDescent="0.25">
      <c r="A154" s="7">
        <v>439</v>
      </c>
      <c r="B154" s="8" t="s">
        <v>718</v>
      </c>
      <c r="C154" s="8" t="s">
        <v>33</v>
      </c>
      <c r="D154" s="9">
        <v>39644</v>
      </c>
      <c r="E154" s="8" t="s">
        <v>7</v>
      </c>
      <c r="F154" s="8" t="s">
        <v>713</v>
      </c>
      <c r="G154" s="8" t="s">
        <v>48</v>
      </c>
      <c r="H154" s="8"/>
      <c r="I154" s="8" t="s">
        <v>719</v>
      </c>
      <c r="J154" s="8"/>
      <c r="K154" s="8"/>
      <c r="L154" s="8" t="s">
        <v>61</v>
      </c>
      <c r="M154" s="8" t="s">
        <v>42</v>
      </c>
      <c r="N154" s="8" t="s">
        <v>608</v>
      </c>
      <c r="O154" s="8"/>
      <c r="P154" s="8" t="s">
        <v>239</v>
      </c>
      <c r="Q154" s="8" t="s">
        <v>492</v>
      </c>
      <c r="R154" s="8" t="s">
        <v>47</v>
      </c>
      <c r="S154" s="8" t="s">
        <v>720</v>
      </c>
      <c r="T154" s="8" t="s">
        <v>48</v>
      </c>
      <c r="U154" s="8"/>
    </row>
    <row r="155" spans="1:21" x14ac:dyDescent="0.25">
      <c r="A155" s="7">
        <v>440</v>
      </c>
      <c r="B155" s="8" t="s">
        <v>721</v>
      </c>
      <c r="C155" s="8" t="s">
        <v>33</v>
      </c>
      <c r="D155" s="9">
        <v>40019</v>
      </c>
      <c r="E155" s="8" t="s">
        <v>7</v>
      </c>
      <c r="F155" s="8"/>
      <c r="G155" s="8" t="s">
        <v>48</v>
      </c>
      <c r="H155" s="8"/>
      <c r="I155" s="8" t="s">
        <v>722</v>
      </c>
      <c r="J155" s="8"/>
      <c r="K155" s="8"/>
      <c r="L155" s="8"/>
      <c r="M155" s="8" t="s">
        <v>533</v>
      </c>
      <c r="N155" s="8" t="s">
        <v>461</v>
      </c>
      <c r="O155" s="8"/>
      <c r="P155" s="8"/>
      <c r="Q155" s="8"/>
      <c r="R155" s="8" t="s">
        <v>47</v>
      </c>
      <c r="S155" s="8"/>
      <c r="T155" s="8" t="s">
        <v>48</v>
      </c>
      <c r="U155" s="8"/>
    </row>
    <row r="156" spans="1:21" x14ac:dyDescent="0.25">
      <c r="A156" s="7">
        <v>441</v>
      </c>
      <c r="B156" s="8" t="s">
        <v>723</v>
      </c>
      <c r="C156" s="8" t="s">
        <v>33</v>
      </c>
      <c r="D156" s="9">
        <v>39625</v>
      </c>
      <c r="E156" s="8" t="s">
        <v>7</v>
      </c>
      <c r="F156" s="8"/>
      <c r="G156" s="8" t="s">
        <v>48</v>
      </c>
      <c r="H156" s="8"/>
      <c r="I156" s="8" t="s">
        <v>724</v>
      </c>
      <c r="J156" s="8"/>
      <c r="K156" s="8"/>
      <c r="L156" s="8"/>
      <c r="M156" s="8" t="s">
        <v>210</v>
      </c>
      <c r="N156" s="8" t="s">
        <v>110</v>
      </c>
      <c r="O156" s="8"/>
      <c r="P156" s="8"/>
      <c r="Q156" s="8"/>
      <c r="R156" s="8" t="s">
        <v>47</v>
      </c>
      <c r="S156" s="8"/>
      <c r="T156" s="8" t="s">
        <v>48</v>
      </c>
      <c r="U156" s="8"/>
    </row>
    <row r="157" spans="1:21" x14ac:dyDescent="0.25">
      <c r="A157" s="7">
        <v>442</v>
      </c>
      <c r="B157" s="8" t="s">
        <v>1439</v>
      </c>
      <c r="C157" s="8" t="s">
        <v>33</v>
      </c>
      <c r="D157" s="9">
        <v>39643</v>
      </c>
      <c r="E157" s="8" t="s">
        <v>7</v>
      </c>
      <c r="F157" s="8"/>
      <c r="G157" s="8" t="s">
        <v>48</v>
      </c>
      <c r="H157" s="8"/>
      <c r="I157" s="8" t="s">
        <v>725</v>
      </c>
      <c r="J157" s="8"/>
      <c r="K157" s="8"/>
      <c r="L157" s="8"/>
      <c r="M157" s="8" t="s">
        <v>492</v>
      </c>
      <c r="N157" s="8" t="s">
        <v>123</v>
      </c>
      <c r="O157" s="8"/>
      <c r="P157" s="8"/>
      <c r="Q157" s="8"/>
      <c r="R157" s="8" t="s">
        <v>47</v>
      </c>
      <c r="S157" s="8"/>
      <c r="T157" s="8" t="s">
        <v>48</v>
      </c>
      <c r="U157" s="8"/>
    </row>
    <row r="158" spans="1:21" x14ac:dyDescent="0.25">
      <c r="A158" s="7">
        <v>443</v>
      </c>
      <c r="B158" s="8" t="s">
        <v>726</v>
      </c>
      <c r="C158" s="8" t="s">
        <v>33</v>
      </c>
      <c r="D158" s="9">
        <v>39415</v>
      </c>
      <c r="E158" s="8" t="s">
        <v>7</v>
      </c>
      <c r="F158" s="8" t="s">
        <v>86</v>
      </c>
      <c r="G158" s="8" t="s">
        <v>48</v>
      </c>
      <c r="H158" s="8"/>
      <c r="I158" s="8" t="s">
        <v>727</v>
      </c>
      <c r="J158" s="8" t="s">
        <v>728</v>
      </c>
      <c r="K158" s="8" t="s">
        <v>729</v>
      </c>
      <c r="L158" s="8" t="s">
        <v>61</v>
      </c>
      <c r="M158" s="8" t="s">
        <v>46</v>
      </c>
      <c r="N158" s="8" t="s">
        <v>730</v>
      </c>
      <c r="O158" s="8" t="s">
        <v>731</v>
      </c>
      <c r="P158" s="8" t="s">
        <v>46</v>
      </c>
      <c r="Q158" s="8" t="s">
        <v>65</v>
      </c>
      <c r="R158" s="8" t="s">
        <v>47</v>
      </c>
      <c r="S158" s="8" t="s">
        <v>732</v>
      </c>
      <c r="T158" s="8" t="s">
        <v>48</v>
      </c>
      <c r="U158" s="8"/>
    </row>
    <row r="159" spans="1:21" x14ac:dyDescent="0.25">
      <c r="A159" s="7">
        <v>444</v>
      </c>
      <c r="B159" s="8" t="s">
        <v>733</v>
      </c>
      <c r="C159" s="8" t="s">
        <v>33</v>
      </c>
      <c r="D159" s="9">
        <v>39692</v>
      </c>
      <c r="E159" s="8" t="s">
        <v>7</v>
      </c>
      <c r="F159" s="8" t="s">
        <v>734</v>
      </c>
      <c r="G159" s="8" t="s">
        <v>48</v>
      </c>
      <c r="H159" s="8" t="s">
        <v>735</v>
      </c>
      <c r="I159" s="8" t="s">
        <v>736</v>
      </c>
      <c r="J159" s="8" t="s">
        <v>737</v>
      </c>
      <c r="K159" s="8" t="s">
        <v>738</v>
      </c>
      <c r="L159" s="8" t="s">
        <v>153</v>
      </c>
      <c r="M159" s="8" t="s">
        <v>739</v>
      </c>
      <c r="N159" s="8" t="s">
        <v>123</v>
      </c>
      <c r="O159" s="8"/>
      <c r="P159" s="8" t="s">
        <v>42</v>
      </c>
      <c r="Q159" s="8" t="s">
        <v>93</v>
      </c>
      <c r="R159" s="8" t="s">
        <v>47</v>
      </c>
      <c r="S159" s="8" t="s">
        <v>740</v>
      </c>
      <c r="T159" s="8" t="s">
        <v>48</v>
      </c>
      <c r="U159" s="8"/>
    </row>
    <row r="160" spans="1:21" x14ac:dyDescent="0.25">
      <c r="A160" s="7">
        <v>445</v>
      </c>
      <c r="B160" s="8" t="s">
        <v>741</v>
      </c>
      <c r="C160" s="8" t="s">
        <v>33</v>
      </c>
      <c r="D160" s="9">
        <v>39395</v>
      </c>
      <c r="E160" s="8" t="s">
        <v>7</v>
      </c>
      <c r="F160" s="8" t="s">
        <v>35</v>
      </c>
      <c r="G160" s="8" t="s">
        <v>48</v>
      </c>
      <c r="H160" s="8"/>
      <c r="I160" s="8" t="s">
        <v>742</v>
      </c>
      <c r="J160" s="8" t="s">
        <v>743</v>
      </c>
      <c r="K160" s="8" t="s">
        <v>744</v>
      </c>
      <c r="L160" s="8" t="s">
        <v>61</v>
      </c>
      <c r="M160" s="8" t="s">
        <v>745</v>
      </c>
      <c r="N160" s="8" t="s">
        <v>44</v>
      </c>
      <c r="O160" s="8"/>
      <c r="P160" s="8" t="s">
        <v>93</v>
      </c>
      <c r="Q160" s="8"/>
      <c r="R160" s="8" t="s">
        <v>47</v>
      </c>
      <c r="S160" s="8" t="s">
        <v>746</v>
      </c>
      <c r="T160" s="8" t="s">
        <v>48</v>
      </c>
      <c r="U160" s="8"/>
    </row>
    <row r="161" spans="1:21" x14ac:dyDescent="0.25">
      <c r="A161" s="7">
        <v>446</v>
      </c>
      <c r="B161" s="8" t="s">
        <v>747</v>
      </c>
      <c r="C161" s="8" t="s">
        <v>33</v>
      </c>
      <c r="D161" s="9">
        <v>39556</v>
      </c>
      <c r="E161" s="8" t="s">
        <v>7</v>
      </c>
      <c r="F161" s="8" t="s">
        <v>748</v>
      </c>
      <c r="G161" s="8" t="s">
        <v>48</v>
      </c>
      <c r="H161" s="8"/>
      <c r="I161" s="8" t="s">
        <v>749</v>
      </c>
      <c r="J161" s="8" t="s">
        <v>750</v>
      </c>
      <c r="K161" s="8" t="s">
        <v>750</v>
      </c>
      <c r="L161" s="8"/>
      <c r="M161" s="8" t="s">
        <v>46</v>
      </c>
      <c r="N161" s="8" t="s">
        <v>751</v>
      </c>
      <c r="O161" s="8" t="s">
        <v>461</v>
      </c>
      <c r="P161" s="8" t="s">
        <v>55</v>
      </c>
      <c r="Q161" s="8"/>
      <c r="R161" s="8" t="s">
        <v>47</v>
      </c>
      <c r="S161" s="8"/>
      <c r="T161" s="8" t="s">
        <v>48</v>
      </c>
      <c r="U161" s="8"/>
    </row>
    <row r="162" spans="1:21" x14ac:dyDescent="0.25">
      <c r="A162" s="7">
        <v>448</v>
      </c>
      <c r="B162" s="8" t="s">
        <v>755</v>
      </c>
      <c r="C162" s="8" t="s">
        <v>33</v>
      </c>
      <c r="D162" s="9">
        <v>39400</v>
      </c>
      <c r="E162" s="8" t="s">
        <v>7</v>
      </c>
      <c r="F162" s="8"/>
      <c r="G162" s="8" t="s">
        <v>48</v>
      </c>
      <c r="H162" s="8"/>
      <c r="I162" s="8" t="s">
        <v>756</v>
      </c>
      <c r="J162" s="8"/>
      <c r="K162" s="8"/>
      <c r="L162" s="8"/>
      <c r="M162" s="8" t="s">
        <v>93</v>
      </c>
      <c r="N162" s="8" t="s">
        <v>757</v>
      </c>
      <c r="O162" s="8"/>
      <c r="P162" s="8"/>
      <c r="Q162" s="8"/>
      <c r="R162" s="8" t="s">
        <v>47</v>
      </c>
      <c r="S162" s="8"/>
      <c r="T162" s="8" t="s">
        <v>48</v>
      </c>
      <c r="U162" s="8"/>
    </row>
    <row r="163" spans="1:21" x14ac:dyDescent="0.25">
      <c r="A163" s="7">
        <v>449</v>
      </c>
      <c r="B163" s="8" t="s">
        <v>758</v>
      </c>
      <c r="C163" s="8" t="s">
        <v>33</v>
      </c>
      <c r="D163" s="9">
        <v>39448</v>
      </c>
      <c r="E163" s="8" t="s">
        <v>7</v>
      </c>
      <c r="F163" s="8"/>
      <c r="G163" s="8" t="s">
        <v>48</v>
      </c>
      <c r="H163" s="8"/>
      <c r="I163" s="8" t="s">
        <v>759</v>
      </c>
      <c r="J163" s="8"/>
      <c r="K163" s="8"/>
      <c r="L163" s="8"/>
      <c r="M163" s="8" t="s">
        <v>42</v>
      </c>
      <c r="N163" s="8" t="s">
        <v>760</v>
      </c>
      <c r="O163" s="8" t="s">
        <v>461</v>
      </c>
      <c r="P163" s="8"/>
      <c r="Q163" s="8"/>
      <c r="R163" s="8" t="s">
        <v>47</v>
      </c>
      <c r="S163" s="8"/>
      <c r="T163" s="8" t="s">
        <v>48</v>
      </c>
      <c r="U163" s="8"/>
    </row>
    <row r="164" spans="1:21" x14ac:dyDescent="0.25">
      <c r="A164" s="7">
        <v>450</v>
      </c>
      <c r="B164" s="8" t="s">
        <v>432</v>
      </c>
      <c r="C164" s="8" t="s">
        <v>33</v>
      </c>
      <c r="D164" s="9">
        <v>40137</v>
      </c>
      <c r="E164" s="8" t="s">
        <v>7</v>
      </c>
      <c r="F164" s="8" t="s">
        <v>133</v>
      </c>
      <c r="G164" s="8" t="s">
        <v>48</v>
      </c>
      <c r="H164" s="8"/>
      <c r="I164" s="8" t="s">
        <v>433</v>
      </c>
      <c r="J164" s="8"/>
      <c r="K164" s="8"/>
      <c r="L164" s="8" t="s">
        <v>61</v>
      </c>
      <c r="M164" s="8" t="s">
        <v>434</v>
      </c>
      <c r="N164" s="8" t="s">
        <v>435</v>
      </c>
      <c r="O164" s="8"/>
      <c r="P164" s="8" t="s">
        <v>235</v>
      </c>
      <c r="Q164" s="8" t="s">
        <v>289</v>
      </c>
      <c r="R164" s="8" t="s">
        <v>47</v>
      </c>
      <c r="S164" s="8" t="s">
        <v>407</v>
      </c>
      <c r="T164" s="8" t="s">
        <v>48</v>
      </c>
      <c r="U164" s="8"/>
    </row>
    <row r="165" spans="1:21" x14ac:dyDescent="0.25">
      <c r="A165" s="7">
        <v>451</v>
      </c>
      <c r="B165" s="8" t="s">
        <v>1351</v>
      </c>
      <c r="C165" s="8" t="s">
        <v>33</v>
      </c>
      <c r="D165" s="9">
        <v>39917</v>
      </c>
      <c r="E165" s="8" t="s">
        <v>7</v>
      </c>
      <c r="F165" s="8" t="s">
        <v>392</v>
      </c>
      <c r="G165" s="8" t="s">
        <v>48</v>
      </c>
      <c r="H165" s="8"/>
      <c r="I165" s="8" t="s">
        <v>790</v>
      </c>
      <c r="J165" s="8" t="s">
        <v>791</v>
      </c>
      <c r="K165" s="8" t="s">
        <v>792</v>
      </c>
      <c r="L165" s="8"/>
      <c r="M165" s="8" t="s">
        <v>434</v>
      </c>
      <c r="N165" s="8" t="s">
        <v>793</v>
      </c>
      <c r="O165" s="8"/>
      <c r="P165" s="8" t="s">
        <v>45</v>
      </c>
      <c r="Q165" s="8" t="s">
        <v>794</v>
      </c>
      <c r="R165" s="8" t="s">
        <v>47</v>
      </c>
      <c r="S165" s="8" t="s">
        <v>407</v>
      </c>
      <c r="T165" s="8" t="s">
        <v>48</v>
      </c>
      <c r="U165" s="8"/>
    </row>
    <row r="166" spans="1:21" x14ac:dyDescent="0.25">
      <c r="A166" s="7">
        <v>502</v>
      </c>
      <c r="B166" s="8" t="s">
        <v>577</v>
      </c>
      <c r="C166" s="8" t="s">
        <v>33</v>
      </c>
      <c r="D166" s="9">
        <v>33164</v>
      </c>
      <c r="E166" s="8" t="s">
        <v>34</v>
      </c>
      <c r="F166" s="8"/>
      <c r="G166" s="8" t="s">
        <v>48</v>
      </c>
      <c r="H166" s="8" t="s">
        <v>578</v>
      </c>
      <c r="I166" s="8" t="s">
        <v>579</v>
      </c>
      <c r="J166" s="8"/>
      <c r="K166" s="8"/>
      <c r="L166" s="8" t="s">
        <v>61</v>
      </c>
      <c r="M166" s="8" t="s">
        <v>580</v>
      </c>
      <c r="N166" s="8" t="s">
        <v>124</v>
      </c>
      <c r="O166" s="8"/>
      <c r="P166" s="8" t="s">
        <v>65</v>
      </c>
      <c r="Q166" s="8" t="s">
        <v>581</v>
      </c>
      <c r="R166" s="8" t="s">
        <v>47</v>
      </c>
      <c r="S166" s="8" t="s">
        <v>582</v>
      </c>
      <c r="T166" s="8" t="s">
        <v>48</v>
      </c>
      <c r="U166" s="8"/>
    </row>
    <row r="167" spans="1:21" x14ac:dyDescent="0.25">
      <c r="A167" s="7">
        <v>503</v>
      </c>
      <c r="B167" s="8" t="s">
        <v>526</v>
      </c>
      <c r="C167" s="8" t="s">
        <v>33</v>
      </c>
      <c r="D167" s="9">
        <v>27216</v>
      </c>
      <c r="E167" s="8" t="s">
        <v>34</v>
      </c>
      <c r="F167" s="8"/>
      <c r="G167" s="8" t="s">
        <v>48</v>
      </c>
      <c r="H167" s="8" t="s">
        <v>527</v>
      </c>
      <c r="I167" s="8" t="s">
        <v>528</v>
      </c>
      <c r="J167" s="8"/>
      <c r="K167" s="8"/>
      <c r="L167" s="8" t="s">
        <v>444</v>
      </c>
      <c r="M167" s="8" t="s">
        <v>529</v>
      </c>
      <c r="N167" s="8" t="s">
        <v>124</v>
      </c>
      <c r="O167" s="8"/>
      <c r="P167" s="8" t="s">
        <v>45</v>
      </c>
      <c r="Q167" s="8" t="s">
        <v>72</v>
      </c>
      <c r="R167" s="8" t="s">
        <v>47</v>
      </c>
      <c r="S167" s="8" t="s">
        <v>530</v>
      </c>
      <c r="T167" s="8" t="s">
        <v>48</v>
      </c>
      <c r="U167" s="8"/>
    </row>
    <row r="168" spans="1:21" x14ac:dyDescent="0.25">
      <c r="A168" s="7">
        <v>504</v>
      </c>
      <c r="B168" s="8" t="s">
        <v>531</v>
      </c>
      <c r="C168" s="8" t="s">
        <v>33</v>
      </c>
      <c r="D168" s="9">
        <v>32698</v>
      </c>
      <c r="E168" s="8" t="s">
        <v>34</v>
      </c>
      <c r="F168" s="8"/>
      <c r="G168" s="8" t="s">
        <v>48</v>
      </c>
      <c r="H168" s="8"/>
      <c r="I168" s="8" t="s">
        <v>532</v>
      </c>
      <c r="J168" s="8"/>
      <c r="K168" s="8"/>
      <c r="L168" s="8" t="s">
        <v>238</v>
      </c>
      <c r="M168" s="8" t="s">
        <v>288</v>
      </c>
      <c r="N168" s="8" t="s">
        <v>106</v>
      </c>
      <c r="O168" s="8"/>
      <c r="P168" s="8" t="s">
        <v>42</v>
      </c>
      <c r="Q168" s="8" t="s">
        <v>533</v>
      </c>
      <c r="R168" s="8" t="s">
        <v>47</v>
      </c>
      <c r="S168" s="8" t="s">
        <v>534</v>
      </c>
      <c r="T168" s="8" t="s">
        <v>48</v>
      </c>
      <c r="U168" s="8"/>
    </row>
    <row r="169" spans="1:21" x14ac:dyDescent="0.25">
      <c r="A169" s="7">
        <v>510</v>
      </c>
      <c r="B169" s="8" t="s">
        <v>761</v>
      </c>
      <c r="C169" s="8" t="s">
        <v>33</v>
      </c>
      <c r="D169" s="9">
        <v>40053</v>
      </c>
      <c r="E169" s="8" t="s">
        <v>8</v>
      </c>
      <c r="F169" s="8"/>
      <c r="G169" s="8" t="s">
        <v>48</v>
      </c>
      <c r="H169" s="8"/>
      <c r="I169" s="8" t="s">
        <v>762</v>
      </c>
      <c r="J169" s="8"/>
      <c r="K169" s="8"/>
      <c r="L169" s="8"/>
      <c r="M169" s="8" t="s">
        <v>62</v>
      </c>
      <c r="N169" s="8" t="s">
        <v>763</v>
      </c>
      <c r="O169" s="8" t="s">
        <v>71</v>
      </c>
      <c r="P169" s="8" t="s">
        <v>46</v>
      </c>
      <c r="Q169" s="8" t="s">
        <v>69</v>
      </c>
      <c r="R169" s="8" t="s">
        <v>47</v>
      </c>
      <c r="S169" s="8"/>
      <c r="T169" s="8" t="s">
        <v>48</v>
      </c>
      <c r="U169" s="8"/>
    </row>
    <row r="170" spans="1:21" x14ac:dyDescent="0.25">
      <c r="A170" s="7">
        <v>512</v>
      </c>
      <c r="B170" s="8" t="s">
        <v>769</v>
      </c>
      <c r="C170" s="8" t="s">
        <v>33</v>
      </c>
      <c r="D170" s="9">
        <v>39550</v>
      </c>
      <c r="E170" s="8" t="s">
        <v>8</v>
      </c>
      <c r="F170" s="8"/>
      <c r="G170" s="8" t="s">
        <v>48</v>
      </c>
      <c r="H170" s="8"/>
      <c r="I170" s="8" t="s">
        <v>770</v>
      </c>
      <c r="J170" s="8"/>
      <c r="K170" s="8"/>
      <c r="L170" s="8"/>
      <c r="M170" s="8"/>
      <c r="N170" s="8" t="s">
        <v>771</v>
      </c>
      <c r="O170" s="8"/>
      <c r="P170" s="8"/>
      <c r="Q170" s="8"/>
      <c r="R170" s="8" t="s">
        <v>47</v>
      </c>
      <c r="S170" s="8" t="s">
        <v>772</v>
      </c>
      <c r="T170" s="8" t="s">
        <v>48</v>
      </c>
      <c r="U170" s="8"/>
    </row>
    <row r="171" spans="1:21" x14ac:dyDescent="0.25">
      <c r="A171" s="7">
        <v>513</v>
      </c>
      <c r="B171" s="8" t="s">
        <v>773</v>
      </c>
      <c r="C171" s="8" t="s">
        <v>33</v>
      </c>
      <c r="D171" s="9">
        <v>39797</v>
      </c>
      <c r="E171" s="8" t="s">
        <v>8</v>
      </c>
      <c r="F171" s="8"/>
      <c r="G171" s="8" t="s">
        <v>48</v>
      </c>
      <c r="H171" s="8"/>
      <c r="I171" s="8" t="s">
        <v>774</v>
      </c>
      <c r="J171" s="8"/>
      <c r="K171" s="8"/>
      <c r="L171" s="8"/>
      <c r="M171" s="8" t="s">
        <v>65</v>
      </c>
      <c r="N171" s="8" t="s">
        <v>345</v>
      </c>
      <c r="O171" s="8" t="s">
        <v>124</v>
      </c>
      <c r="P171" s="8" t="s">
        <v>55</v>
      </c>
      <c r="Q171" s="8" t="s">
        <v>277</v>
      </c>
      <c r="R171" s="8" t="s">
        <v>47</v>
      </c>
      <c r="S171" s="8" t="s">
        <v>775</v>
      </c>
      <c r="T171" s="8" t="s">
        <v>48</v>
      </c>
      <c r="U171" s="8"/>
    </row>
    <row r="172" spans="1:21" x14ac:dyDescent="0.25">
      <c r="A172" s="7">
        <v>514</v>
      </c>
      <c r="B172" s="8" t="s">
        <v>776</v>
      </c>
      <c r="C172" s="8" t="s">
        <v>33</v>
      </c>
      <c r="D172" s="9">
        <v>39831</v>
      </c>
      <c r="E172" s="8" t="s">
        <v>8</v>
      </c>
      <c r="F172" s="8"/>
      <c r="G172" s="8" t="s">
        <v>48</v>
      </c>
      <c r="H172" s="8"/>
      <c r="I172" s="8" t="s">
        <v>777</v>
      </c>
      <c r="J172" s="8"/>
      <c r="K172" s="8"/>
      <c r="L172" s="8"/>
      <c r="M172" s="8" t="s">
        <v>778</v>
      </c>
      <c r="N172" s="8" t="s">
        <v>124</v>
      </c>
      <c r="O172" s="8"/>
      <c r="P172" s="8" t="s">
        <v>51</v>
      </c>
      <c r="Q172" s="8" t="s">
        <v>779</v>
      </c>
      <c r="R172" s="8" t="s">
        <v>47</v>
      </c>
      <c r="S172" s="8"/>
      <c r="T172" s="8" t="s">
        <v>48</v>
      </c>
      <c r="U172" s="8"/>
    </row>
    <row r="173" spans="1:21" x14ac:dyDescent="0.25">
      <c r="A173" s="7">
        <v>515</v>
      </c>
      <c r="B173" s="8" t="s">
        <v>780</v>
      </c>
      <c r="C173" s="8" t="s">
        <v>33</v>
      </c>
      <c r="D173" s="9">
        <v>39986</v>
      </c>
      <c r="E173" s="8" t="s">
        <v>8</v>
      </c>
      <c r="F173" s="8" t="s">
        <v>639</v>
      </c>
      <c r="G173" s="8" t="s">
        <v>48</v>
      </c>
      <c r="H173" s="8"/>
      <c r="I173" s="8" t="s">
        <v>781</v>
      </c>
      <c r="J173" s="8"/>
      <c r="K173" s="8"/>
      <c r="L173" s="8"/>
      <c r="M173" s="8" t="s">
        <v>782</v>
      </c>
      <c r="N173" s="8" t="s">
        <v>110</v>
      </c>
      <c r="O173" s="8"/>
      <c r="P173" s="8" t="s">
        <v>93</v>
      </c>
      <c r="Q173" s="8" t="s">
        <v>45</v>
      </c>
      <c r="R173" s="8" t="s">
        <v>47</v>
      </c>
      <c r="S173" s="8" t="s">
        <v>783</v>
      </c>
      <c r="T173" s="8" t="s">
        <v>48</v>
      </c>
      <c r="U173" s="8"/>
    </row>
    <row r="174" spans="1:21" x14ac:dyDescent="0.25">
      <c r="A174" s="7">
        <v>516</v>
      </c>
      <c r="B174" s="8" t="s">
        <v>784</v>
      </c>
      <c r="C174" s="8" t="s">
        <v>33</v>
      </c>
      <c r="D174" s="9">
        <v>39829</v>
      </c>
      <c r="E174" s="8" t="s">
        <v>8</v>
      </c>
      <c r="F174" s="8"/>
      <c r="G174" s="8" t="s">
        <v>48</v>
      </c>
      <c r="H174" s="8"/>
      <c r="I174" s="8" t="s">
        <v>785</v>
      </c>
      <c r="J174" s="8"/>
      <c r="K174" s="8"/>
      <c r="L174" s="8"/>
      <c r="M174" s="8" t="s">
        <v>55</v>
      </c>
      <c r="N174" s="8" t="s">
        <v>786</v>
      </c>
      <c r="O174" s="8"/>
      <c r="P174" s="8"/>
      <c r="Q174" s="8"/>
      <c r="R174" s="8" t="s">
        <v>47</v>
      </c>
      <c r="S174" s="8"/>
      <c r="T174" s="8" t="s">
        <v>48</v>
      </c>
      <c r="U174" s="8"/>
    </row>
    <row r="175" spans="1:21" x14ac:dyDescent="0.25">
      <c r="A175" s="7">
        <v>519</v>
      </c>
      <c r="B175" s="8" t="s">
        <v>795</v>
      </c>
      <c r="C175" s="8" t="s">
        <v>33</v>
      </c>
      <c r="D175" s="9">
        <v>39871</v>
      </c>
      <c r="E175" s="8" t="s">
        <v>8</v>
      </c>
      <c r="F175" s="8"/>
      <c r="G175" s="8" t="s">
        <v>48</v>
      </c>
      <c r="H175" s="8"/>
      <c r="I175" s="8" t="s">
        <v>796</v>
      </c>
      <c r="J175" s="8"/>
      <c r="K175" s="8"/>
      <c r="L175" s="8"/>
      <c r="M175" s="8" t="s">
        <v>72</v>
      </c>
      <c r="N175" s="8" t="s">
        <v>234</v>
      </c>
      <c r="O175" s="8"/>
      <c r="P175" s="8"/>
      <c r="Q175" s="8"/>
      <c r="R175" s="8" t="s">
        <v>47</v>
      </c>
      <c r="S175" s="8" t="s">
        <v>797</v>
      </c>
      <c r="T175" s="8" t="s">
        <v>48</v>
      </c>
      <c r="U175" s="8"/>
    </row>
    <row r="176" spans="1:21" x14ac:dyDescent="0.25">
      <c r="A176" s="7">
        <v>520</v>
      </c>
      <c r="B176" s="8" t="s">
        <v>798</v>
      </c>
      <c r="C176" s="8" t="s">
        <v>33</v>
      </c>
      <c r="D176" s="9">
        <v>39881</v>
      </c>
      <c r="E176" s="8" t="s">
        <v>8</v>
      </c>
      <c r="F176" s="8"/>
      <c r="G176" s="8" t="s">
        <v>48</v>
      </c>
      <c r="H176" s="8"/>
      <c r="I176" s="8" t="s">
        <v>799</v>
      </c>
      <c r="J176" s="8"/>
      <c r="K176" s="8"/>
      <c r="L176" s="8"/>
      <c r="M176" s="8"/>
      <c r="N176" s="8" t="s">
        <v>800</v>
      </c>
      <c r="O176" s="8" t="s">
        <v>682</v>
      </c>
      <c r="P176" s="8" t="s">
        <v>45</v>
      </c>
      <c r="Q176" s="8" t="s">
        <v>55</v>
      </c>
      <c r="R176" s="8" t="s">
        <v>98</v>
      </c>
      <c r="S176" s="8" t="s">
        <v>801</v>
      </c>
      <c r="T176" s="8" t="s">
        <v>48</v>
      </c>
      <c r="U176" s="8"/>
    </row>
    <row r="177" spans="1:21" x14ac:dyDescent="0.25">
      <c r="A177" s="7">
        <v>521</v>
      </c>
      <c r="B177" s="8" t="s">
        <v>802</v>
      </c>
      <c r="C177" s="8" t="s">
        <v>33</v>
      </c>
      <c r="D177" s="9">
        <v>39881</v>
      </c>
      <c r="E177" s="8" t="s">
        <v>8</v>
      </c>
      <c r="F177" s="8"/>
      <c r="G177" s="8" t="s">
        <v>48</v>
      </c>
      <c r="H177" s="8"/>
      <c r="I177" s="8" t="s">
        <v>803</v>
      </c>
      <c r="J177" s="8"/>
      <c r="K177" s="8"/>
      <c r="L177" s="8"/>
      <c r="M177" s="8" t="s">
        <v>143</v>
      </c>
      <c r="N177" s="8" t="s">
        <v>345</v>
      </c>
      <c r="O177" s="8" t="s">
        <v>124</v>
      </c>
      <c r="P177" s="8"/>
      <c r="Q177" s="8"/>
      <c r="R177" s="8" t="s">
        <v>47</v>
      </c>
      <c r="S177" s="8" t="s">
        <v>775</v>
      </c>
      <c r="T177" s="8" t="s">
        <v>48</v>
      </c>
      <c r="U177" s="8"/>
    </row>
    <row r="178" spans="1:21" x14ac:dyDescent="0.25">
      <c r="A178" s="7">
        <v>523</v>
      </c>
      <c r="B178" s="8" t="s">
        <v>809</v>
      </c>
      <c r="C178" s="8" t="s">
        <v>33</v>
      </c>
      <c r="D178" s="9">
        <v>39461</v>
      </c>
      <c r="E178" s="8" t="s">
        <v>8</v>
      </c>
      <c r="F178" s="8" t="s">
        <v>392</v>
      </c>
      <c r="G178" s="8" t="s">
        <v>48</v>
      </c>
      <c r="H178" s="8"/>
      <c r="I178" s="8" t="s">
        <v>810</v>
      </c>
      <c r="J178" s="8" t="s">
        <v>811</v>
      </c>
      <c r="K178" s="8" t="s">
        <v>812</v>
      </c>
      <c r="L178" s="8"/>
      <c r="M178" s="8" t="s">
        <v>288</v>
      </c>
      <c r="N178" s="8" t="s">
        <v>461</v>
      </c>
      <c r="O178" s="8"/>
      <c r="P178" s="8" t="s">
        <v>65</v>
      </c>
      <c r="Q178" s="8" t="s">
        <v>113</v>
      </c>
      <c r="R178" s="8" t="s">
        <v>47</v>
      </c>
      <c r="S178" s="8" t="s">
        <v>813</v>
      </c>
      <c r="T178" s="8" t="s">
        <v>48</v>
      </c>
      <c r="U178" s="8"/>
    </row>
    <row r="179" spans="1:21" x14ac:dyDescent="0.25">
      <c r="A179" s="7">
        <v>524</v>
      </c>
      <c r="B179" s="8" t="s">
        <v>814</v>
      </c>
      <c r="C179" s="8" t="s">
        <v>33</v>
      </c>
      <c r="D179" s="9">
        <v>39467</v>
      </c>
      <c r="E179" s="8" t="s">
        <v>8</v>
      </c>
      <c r="F179" s="8"/>
      <c r="G179" s="8" t="s">
        <v>48</v>
      </c>
      <c r="H179" s="8"/>
      <c r="I179" s="8" t="s">
        <v>815</v>
      </c>
      <c r="J179" s="8"/>
      <c r="K179" s="8"/>
      <c r="L179" s="8"/>
      <c r="M179" s="8"/>
      <c r="N179" s="8" t="s">
        <v>816</v>
      </c>
      <c r="O179" s="8"/>
      <c r="P179" s="8"/>
      <c r="Q179" s="8"/>
      <c r="R179" s="8" t="s">
        <v>47</v>
      </c>
      <c r="S179" s="8"/>
      <c r="T179" s="8" t="s">
        <v>48</v>
      </c>
      <c r="U179" s="8"/>
    </row>
    <row r="180" spans="1:21" x14ac:dyDescent="0.25">
      <c r="A180" s="7">
        <v>525</v>
      </c>
      <c r="B180" s="8" t="s">
        <v>817</v>
      </c>
      <c r="C180" s="8" t="s">
        <v>33</v>
      </c>
      <c r="D180" s="9">
        <v>39622</v>
      </c>
      <c r="E180" s="8" t="s">
        <v>8</v>
      </c>
      <c r="F180" s="8" t="s">
        <v>44</v>
      </c>
      <c r="G180" s="8" t="s">
        <v>48</v>
      </c>
      <c r="H180" s="8"/>
      <c r="I180" s="8"/>
      <c r="J180" s="8" t="s">
        <v>818</v>
      </c>
      <c r="K180" s="8"/>
      <c r="L180" s="8" t="s">
        <v>664</v>
      </c>
      <c r="M180" s="8" t="s">
        <v>93</v>
      </c>
      <c r="N180" s="8" t="s">
        <v>819</v>
      </c>
      <c r="O180" s="8"/>
      <c r="P180" s="8" t="s">
        <v>72</v>
      </c>
      <c r="Q180" s="8" t="s">
        <v>55</v>
      </c>
      <c r="R180" s="8" t="s">
        <v>47</v>
      </c>
      <c r="S180" s="8" t="s">
        <v>820</v>
      </c>
      <c r="T180" s="8" t="s">
        <v>48</v>
      </c>
      <c r="U180" s="8"/>
    </row>
    <row r="181" spans="1:21" x14ac:dyDescent="0.25">
      <c r="A181" s="7">
        <v>526</v>
      </c>
      <c r="B181" s="8" t="s">
        <v>821</v>
      </c>
      <c r="C181" s="8" t="s">
        <v>33</v>
      </c>
      <c r="D181" s="9">
        <v>39793</v>
      </c>
      <c r="E181" s="8" t="s">
        <v>8</v>
      </c>
      <c r="F181" s="8"/>
      <c r="G181" s="8" t="s">
        <v>48</v>
      </c>
      <c r="H181" s="8"/>
      <c r="I181" s="8" t="s">
        <v>822</v>
      </c>
      <c r="J181" s="8"/>
      <c r="K181" s="8"/>
      <c r="L181" s="8"/>
      <c r="M181" s="8" t="s">
        <v>62</v>
      </c>
      <c r="N181" s="8" t="s">
        <v>110</v>
      </c>
      <c r="O181" s="8"/>
      <c r="P181" s="8"/>
      <c r="Q181" s="8"/>
      <c r="R181" s="8" t="s">
        <v>47</v>
      </c>
      <c r="S181" s="8"/>
      <c r="T181" s="8" t="s">
        <v>48</v>
      </c>
      <c r="U181" s="8"/>
    </row>
    <row r="182" spans="1:21" x14ac:dyDescent="0.25">
      <c r="A182" s="7">
        <v>528</v>
      </c>
      <c r="B182" s="8" t="s">
        <v>825</v>
      </c>
      <c r="C182" s="8" t="s">
        <v>33</v>
      </c>
      <c r="D182" s="9">
        <v>39958</v>
      </c>
      <c r="E182" s="8" t="s">
        <v>8</v>
      </c>
      <c r="F182" s="8"/>
      <c r="G182" s="8" t="s">
        <v>48</v>
      </c>
      <c r="H182" s="8"/>
      <c r="I182" s="8" t="s">
        <v>826</v>
      </c>
      <c r="J182" s="8"/>
      <c r="K182" s="8"/>
      <c r="L182" s="8"/>
      <c r="M182" s="8" t="s">
        <v>460</v>
      </c>
      <c r="N182" s="8" t="s">
        <v>461</v>
      </c>
      <c r="O182" s="8"/>
      <c r="P182" s="8" t="s">
        <v>55</v>
      </c>
      <c r="Q182" s="8" t="s">
        <v>51</v>
      </c>
      <c r="R182" s="8" t="s">
        <v>47</v>
      </c>
      <c r="S182" s="8"/>
      <c r="T182" s="8" t="s">
        <v>48</v>
      </c>
      <c r="U182" s="8"/>
    </row>
    <row r="183" spans="1:21" x14ac:dyDescent="0.25">
      <c r="A183" s="7">
        <v>529</v>
      </c>
      <c r="B183" s="8" t="s">
        <v>827</v>
      </c>
      <c r="C183" s="8" t="s">
        <v>33</v>
      </c>
      <c r="D183" s="9">
        <v>40062</v>
      </c>
      <c r="E183" s="8" t="s">
        <v>8</v>
      </c>
      <c r="F183" s="8"/>
      <c r="G183" s="8" t="s">
        <v>48</v>
      </c>
      <c r="H183" s="8"/>
      <c r="I183" s="8" t="s">
        <v>828</v>
      </c>
      <c r="J183" s="8"/>
      <c r="K183" s="8"/>
      <c r="L183" s="8"/>
      <c r="M183" s="8" t="s">
        <v>383</v>
      </c>
      <c r="N183" s="8" t="s">
        <v>76</v>
      </c>
      <c r="O183" s="8"/>
      <c r="P183" s="8"/>
      <c r="Q183" s="8"/>
      <c r="R183" s="8" t="s">
        <v>47</v>
      </c>
      <c r="S183" s="8"/>
      <c r="T183" s="8" t="s">
        <v>48</v>
      </c>
      <c r="U183" s="8"/>
    </row>
    <row r="184" spans="1:21" x14ac:dyDescent="0.25">
      <c r="A184" s="7">
        <v>532</v>
      </c>
      <c r="B184" s="8" t="s">
        <v>57</v>
      </c>
      <c r="C184" s="8" t="s">
        <v>33</v>
      </c>
      <c r="D184" s="9">
        <v>40042</v>
      </c>
      <c r="E184" s="8" t="s">
        <v>8</v>
      </c>
      <c r="F184" s="8" t="s">
        <v>58</v>
      </c>
      <c r="G184" s="8" t="s">
        <v>36</v>
      </c>
      <c r="H184" s="8"/>
      <c r="I184" s="8" t="s">
        <v>59</v>
      </c>
      <c r="J184" s="8" t="s">
        <v>60</v>
      </c>
      <c r="K184" s="8"/>
      <c r="L184" s="8" t="s">
        <v>61</v>
      </c>
      <c r="M184" s="8" t="s">
        <v>62</v>
      </c>
      <c r="N184" s="8" t="s">
        <v>63</v>
      </c>
      <c r="O184" s="8" t="s">
        <v>64</v>
      </c>
      <c r="P184" s="8" t="s">
        <v>55</v>
      </c>
      <c r="Q184" s="8" t="s">
        <v>65</v>
      </c>
      <c r="R184" s="8" t="s">
        <v>47</v>
      </c>
      <c r="S184" s="8"/>
      <c r="T184" s="8" t="s">
        <v>48</v>
      </c>
      <c r="U184" s="8"/>
    </row>
    <row r="185" spans="1:21" x14ac:dyDescent="0.25">
      <c r="A185" s="7">
        <v>533</v>
      </c>
      <c r="B185" s="8" t="s">
        <v>1440</v>
      </c>
      <c r="C185" s="8" t="s">
        <v>33</v>
      </c>
      <c r="D185" s="9">
        <v>39798</v>
      </c>
      <c r="E185" s="8" t="s">
        <v>8</v>
      </c>
      <c r="F185" s="8" t="s">
        <v>1441</v>
      </c>
      <c r="G185" s="8" t="s">
        <v>36</v>
      </c>
      <c r="H185" s="8" t="s">
        <v>37</v>
      </c>
      <c r="I185" s="8" t="s">
        <v>1442</v>
      </c>
      <c r="J185" s="8" t="s">
        <v>1443</v>
      </c>
      <c r="K185" s="8" t="s">
        <v>37</v>
      </c>
      <c r="L185" s="8" t="s">
        <v>238</v>
      </c>
      <c r="M185" s="8" t="s">
        <v>55</v>
      </c>
      <c r="N185" s="8" t="s">
        <v>234</v>
      </c>
      <c r="O185" s="8" t="s">
        <v>37</v>
      </c>
      <c r="P185" s="8" t="s">
        <v>239</v>
      </c>
      <c r="Q185" s="8" t="s">
        <v>37</v>
      </c>
      <c r="R185" s="8" t="s">
        <v>37</v>
      </c>
      <c r="S185" s="8" t="s">
        <v>1444</v>
      </c>
      <c r="T185" s="8" t="s">
        <v>48</v>
      </c>
      <c r="U185" s="8" t="s">
        <v>37</v>
      </c>
    </row>
    <row r="186" spans="1:21" x14ac:dyDescent="0.25">
      <c r="A186" s="7">
        <v>602</v>
      </c>
      <c r="B186" s="8" t="s">
        <v>598</v>
      </c>
      <c r="C186" s="8" t="s">
        <v>33</v>
      </c>
      <c r="D186" s="9">
        <v>23435</v>
      </c>
      <c r="E186" s="8" t="s">
        <v>34</v>
      </c>
      <c r="F186" s="8"/>
      <c r="G186" s="8" t="s">
        <v>36</v>
      </c>
      <c r="H186" s="8"/>
      <c r="I186" s="8" t="s">
        <v>599</v>
      </c>
      <c r="J186" s="8"/>
      <c r="K186" s="8"/>
      <c r="L186" s="8" t="s">
        <v>600</v>
      </c>
      <c r="M186" s="8" t="s">
        <v>358</v>
      </c>
      <c r="N186" s="8" t="s">
        <v>359</v>
      </c>
      <c r="O186" s="8" t="s">
        <v>124</v>
      </c>
      <c r="P186" s="8" t="s">
        <v>55</v>
      </c>
      <c r="Q186" s="8" t="s">
        <v>55</v>
      </c>
      <c r="R186" s="8" t="s">
        <v>47</v>
      </c>
      <c r="S186" s="8"/>
      <c r="T186" s="8" t="s">
        <v>48</v>
      </c>
      <c r="U186" s="8"/>
    </row>
    <row r="187" spans="1:21" x14ac:dyDescent="0.25">
      <c r="A187" s="7">
        <v>603</v>
      </c>
      <c r="B187" s="8" t="s">
        <v>569</v>
      </c>
      <c r="C187" s="8" t="s">
        <v>33</v>
      </c>
      <c r="D187" s="9">
        <v>31807</v>
      </c>
      <c r="E187" s="8" t="s">
        <v>34</v>
      </c>
      <c r="F187" s="8"/>
      <c r="G187" s="8" t="s">
        <v>48</v>
      </c>
      <c r="H187" s="8"/>
      <c r="I187" s="8" t="s">
        <v>570</v>
      </c>
      <c r="J187" s="8"/>
      <c r="K187" s="8"/>
      <c r="L187" s="8" t="s">
        <v>567</v>
      </c>
      <c r="M187" s="8"/>
      <c r="N187" s="8" t="s">
        <v>571</v>
      </c>
      <c r="O187" s="8"/>
      <c r="P187" s="8" t="s">
        <v>278</v>
      </c>
      <c r="Q187" s="8"/>
      <c r="R187" s="8"/>
      <c r="S187" s="8"/>
      <c r="T187" s="8" t="s">
        <v>48</v>
      </c>
      <c r="U187" s="8"/>
    </row>
    <row r="188" spans="1:21" x14ac:dyDescent="0.25">
      <c r="A188" s="7">
        <v>610</v>
      </c>
      <c r="B188" s="8" t="s">
        <v>835</v>
      </c>
      <c r="C188" s="8" t="s">
        <v>33</v>
      </c>
      <c r="D188" s="9">
        <v>40071</v>
      </c>
      <c r="E188" s="8" t="s">
        <v>9</v>
      </c>
      <c r="F188" s="8" t="s">
        <v>836</v>
      </c>
      <c r="G188" s="8" t="s">
        <v>48</v>
      </c>
      <c r="H188" s="8"/>
      <c r="I188" s="8" t="s">
        <v>837</v>
      </c>
      <c r="J188" s="8" t="s">
        <v>838</v>
      </c>
      <c r="K188" s="8"/>
      <c r="L188" s="8"/>
      <c r="M188" s="8" t="s">
        <v>143</v>
      </c>
      <c r="N188" s="8" t="s">
        <v>123</v>
      </c>
      <c r="O188" s="8"/>
      <c r="P188" s="8" t="s">
        <v>204</v>
      </c>
      <c r="Q188" s="8"/>
      <c r="R188" s="8"/>
      <c r="S188" s="8"/>
      <c r="T188" s="8" t="s">
        <v>48</v>
      </c>
      <c r="U188" s="8" t="s">
        <v>839</v>
      </c>
    </row>
    <row r="189" spans="1:21" x14ac:dyDescent="0.25">
      <c r="A189" s="7">
        <v>611</v>
      </c>
      <c r="B189" s="8" t="s">
        <v>840</v>
      </c>
      <c r="C189" s="8" t="s">
        <v>33</v>
      </c>
      <c r="D189" s="9">
        <v>39692</v>
      </c>
      <c r="E189" s="8" t="s">
        <v>9</v>
      </c>
      <c r="F189" s="8" t="s">
        <v>841</v>
      </c>
      <c r="G189" s="8" t="s">
        <v>48</v>
      </c>
      <c r="H189" s="8"/>
      <c r="I189" s="8" t="s">
        <v>842</v>
      </c>
      <c r="J189" s="8" t="s">
        <v>843</v>
      </c>
      <c r="K189" s="8" t="s">
        <v>844</v>
      </c>
      <c r="L189" s="8"/>
      <c r="M189" s="8" t="s">
        <v>55</v>
      </c>
      <c r="N189" s="8" t="s">
        <v>845</v>
      </c>
      <c r="O189" s="8" t="s">
        <v>64</v>
      </c>
      <c r="P189" s="8" t="s">
        <v>93</v>
      </c>
      <c r="Q189" s="8"/>
      <c r="R189" s="8"/>
      <c r="S189" s="8"/>
      <c r="T189" s="8" t="s">
        <v>48</v>
      </c>
      <c r="U189" s="8"/>
    </row>
    <row r="190" spans="1:21" x14ac:dyDescent="0.25">
      <c r="A190" s="7">
        <v>612</v>
      </c>
      <c r="B190" s="8" t="s">
        <v>846</v>
      </c>
      <c r="C190" s="8" t="s">
        <v>33</v>
      </c>
      <c r="D190" s="9">
        <v>39692</v>
      </c>
      <c r="E190" s="8" t="s">
        <v>9</v>
      </c>
      <c r="F190" s="8" t="s">
        <v>841</v>
      </c>
      <c r="G190" s="8" t="s">
        <v>48</v>
      </c>
      <c r="H190" s="8"/>
      <c r="I190" s="8" t="s">
        <v>842</v>
      </c>
      <c r="J190" s="8" t="s">
        <v>843</v>
      </c>
      <c r="K190" s="8" t="s">
        <v>844</v>
      </c>
      <c r="L190" s="8"/>
      <c r="M190" s="8" t="s">
        <v>55</v>
      </c>
      <c r="N190" s="8" t="s">
        <v>845</v>
      </c>
      <c r="O190" s="8" t="s">
        <v>64</v>
      </c>
      <c r="P190" s="8" t="s">
        <v>93</v>
      </c>
      <c r="Q190" s="8"/>
      <c r="R190" s="8"/>
      <c r="S190" s="8"/>
      <c r="T190" s="8" t="s">
        <v>48</v>
      </c>
      <c r="U190" s="8"/>
    </row>
    <row r="191" spans="1:21" x14ac:dyDescent="0.25">
      <c r="A191" s="7">
        <v>613</v>
      </c>
      <c r="B191" s="8" t="s">
        <v>847</v>
      </c>
      <c r="C191" s="8" t="s">
        <v>33</v>
      </c>
      <c r="D191" s="9">
        <v>39932</v>
      </c>
      <c r="E191" s="8" t="s">
        <v>9</v>
      </c>
      <c r="F191" s="8" t="s">
        <v>841</v>
      </c>
      <c r="G191" s="8" t="s">
        <v>48</v>
      </c>
      <c r="H191" s="8"/>
      <c r="I191" s="8" t="s">
        <v>848</v>
      </c>
      <c r="J191" s="8"/>
      <c r="K191" s="8" t="s">
        <v>849</v>
      </c>
      <c r="L191" s="8"/>
      <c r="M191" s="8" t="s">
        <v>850</v>
      </c>
      <c r="N191" s="8" t="s">
        <v>359</v>
      </c>
      <c r="O191" s="8" t="s">
        <v>851</v>
      </c>
      <c r="P191" s="8"/>
      <c r="Q191" s="8"/>
      <c r="R191" s="8"/>
      <c r="S191" s="8"/>
      <c r="T191" s="8" t="s">
        <v>48</v>
      </c>
      <c r="U191" s="8"/>
    </row>
    <row r="192" spans="1:21" x14ac:dyDescent="0.25">
      <c r="A192" s="7">
        <v>614</v>
      </c>
      <c r="B192" s="8" t="s">
        <v>852</v>
      </c>
      <c r="C192" s="8" t="s">
        <v>33</v>
      </c>
      <c r="D192" s="9">
        <v>40050</v>
      </c>
      <c r="E192" s="8" t="s">
        <v>9</v>
      </c>
      <c r="F192" s="8" t="s">
        <v>836</v>
      </c>
      <c r="G192" s="8" t="s">
        <v>48</v>
      </c>
      <c r="H192" s="8"/>
      <c r="I192" s="8" t="s">
        <v>853</v>
      </c>
      <c r="J192" s="8" t="s">
        <v>854</v>
      </c>
      <c r="K192" s="8" t="s">
        <v>855</v>
      </c>
      <c r="L192" s="8"/>
      <c r="M192" s="8" t="s">
        <v>81</v>
      </c>
      <c r="N192" s="8" t="s">
        <v>242</v>
      </c>
      <c r="O192" s="8" t="s">
        <v>851</v>
      </c>
      <c r="P192" s="8" t="s">
        <v>204</v>
      </c>
      <c r="Q192" s="8"/>
      <c r="R192" s="8"/>
      <c r="S192" s="8"/>
      <c r="T192" s="8" t="s">
        <v>48</v>
      </c>
      <c r="U192" s="8" t="s">
        <v>856</v>
      </c>
    </row>
    <row r="193" spans="1:21" x14ac:dyDescent="0.25">
      <c r="A193" s="7">
        <v>615</v>
      </c>
      <c r="B193" s="8" t="s">
        <v>857</v>
      </c>
      <c r="C193" s="8" t="s">
        <v>33</v>
      </c>
      <c r="D193" s="9">
        <v>39969</v>
      </c>
      <c r="E193" s="8" t="s">
        <v>9</v>
      </c>
      <c r="F193" s="8" t="s">
        <v>841</v>
      </c>
      <c r="G193" s="8" t="s">
        <v>48</v>
      </c>
      <c r="H193" s="8"/>
      <c r="I193" s="8" t="s">
        <v>858</v>
      </c>
      <c r="J193" s="8" t="s">
        <v>859</v>
      </c>
      <c r="K193" s="8" t="s">
        <v>860</v>
      </c>
      <c r="L193" s="8"/>
      <c r="M193" s="8" t="s">
        <v>113</v>
      </c>
      <c r="N193" s="8" t="s">
        <v>359</v>
      </c>
      <c r="O193" s="8" t="s">
        <v>851</v>
      </c>
      <c r="P193" s="8" t="s">
        <v>62</v>
      </c>
      <c r="Q193" s="8"/>
      <c r="R193" s="8"/>
      <c r="S193" s="8"/>
      <c r="T193" s="8" t="s">
        <v>48</v>
      </c>
      <c r="U193" s="8"/>
    </row>
    <row r="194" spans="1:21" x14ac:dyDescent="0.25">
      <c r="A194" s="7">
        <v>616</v>
      </c>
      <c r="B194" s="8" t="s">
        <v>861</v>
      </c>
      <c r="C194" s="8" t="s">
        <v>33</v>
      </c>
      <c r="D194" s="9">
        <v>39665</v>
      </c>
      <c r="E194" s="8" t="s">
        <v>9</v>
      </c>
      <c r="F194" s="8" t="s">
        <v>862</v>
      </c>
      <c r="G194" s="8" t="s">
        <v>48</v>
      </c>
      <c r="H194" s="8"/>
      <c r="I194" s="8" t="s">
        <v>863</v>
      </c>
      <c r="J194" s="8"/>
      <c r="K194" s="8"/>
      <c r="L194" s="8"/>
      <c r="M194" s="8"/>
      <c r="N194" s="8" t="s">
        <v>864</v>
      </c>
      <c r="O194" s="8" t="s">
        <v>851</v>
      </c>
      <c r="P194" s="8"/>
      <c r="Q194" s="8"/>
      <c r="R194" s="8"/>
      <c r="S194" s="8"/>
      <c r="T194" s="8" t="s">
        <v>48</v>
      </c>
      <c r="U194" s="8" t="s">
        <v>865</v>
      </c>
    </row>
    <row r="195" spans="1:21" x14ac:dyDescent="0.25">
      <c r="A195" s="7">
        <v>617</v>
      </c>
      <c r="B195" s="8" t="s">
        <v>866</v>
      </c>
      <c r="C195" s="8" t="s">
        <v>33</v>
      </c>
      <c r="D195" s="9">
        <v>39665</v>
      </c>
      <c r="E195" s="8" t="s">
        <v>9</v>
      </c>
      <c r="F195" s="8" t="s">
        <v>862</v>
      </c>
      <c r="G195" s="8" t="s">
        <v>48</v>
      </c>
      <c r="H195" s="8"/>
      <c r="I195" s="8" t="s">
        <v>863</v>
      </c>
      <c r="J195" s="8"/>
      <c r="K195" s="8"/>
      <c r="L195" s="8"/>
      <c r="M195" s="8"/>
      <c r="N195" s="8" t="s">
        <v>864</v>
      </c>
      <c r="O195" s="8" t="s">
        <v>851</v>
      </c>
      <c r="P195" s="8"/>
      <c r="Q195" s="8"/>
      <c r="R195" s="8"/>
      <c r="S195" s="8"/>
      <c r="T195" s="8" t="s">
        <v>48</v>
      </c>
      <c r="U195" s="8" t="s">
        <v>865</v>
      </c>
    </row>
    <row r="196" spans="1:21" x14ac:dyDescent="0.25">
      <c r="A196" s="7">
        <v>618</v>
      </c>
      <c r="B196" s="8" t="s">
        <v>1352</v>
      </c>
      <c r="C196" s="8" t="s">
        <v>33</v>
      </c>
      <c r="D196" s="9">
        <v>39822</v>
      </c>
      <c r="E196" s="8" t="s">
        <v>9</v>
      </c>
      <c r="F196" s="8" t="s">
        <v>841</v>
      </c>
      <c r="G196" s="8" t="s">
        <v>48</v>
      </c>
      <c r="H196" s="8"/>
      <c r="I196" s="8" t="s">
        <v>867</v>
      </c>
      <c r="J196" s="8" t="s">
        <v>868</v>
      </c>
      <c r="K196" s="8"/>
      <c r="L196" s="8" t="s">
        <v>540</v>
      </c>
      <c r="M196" s="8" t="s">
        <v>105</v>
      </c>
      <c r="N196" s="8" t="s">
        <v>171</v>
      </c>
      <c r="O196" s="8" t="s">
        <v>123</v>
      </c>
      <c r="P196" s="8" t="s">
        <v>93</v>
      </c>
      <c r="Q196" s="8"/>
      <c r="R196" s="8"/>
      <c r="S196" s="8"/>
      <c r="T196" s="8" t="s">
        <v>48</v>
      </c>
      <c r="U196" s="8" t="s">
        <v>869</v>
      </c>
    </row>
    <row r="197" spans="1:21" x14ac:dyDescent="0.25">
      <c r="A197" s="7">
        <v>619</v>
      </c>
      <c r="B197" s="8" t="s">
        <v>870</v>
      </c>
      <c r="C197" s="8" t="s">
        <v>33</v>
      </c>
      <c r="D197" s="9">
        <v>39552</v>
      </c>
      <c r="E197" s="8" t="s">
        <v>9</v>
      </c>
      <c r="F197" s="8" t="s">
        <v>841</v>
      </c>
      <c r="G197" s="8" t="s">
        <v>48</v>
      </c>
      <c r="H197" s="8"/>
      <c r="I197" s="8" t="s">
        <v>871</v>
      </c>
      <c r="J197" s="8"/>
      <c r="K197" s="8" t="s">
        <v>872</v>
      </c>
      <c r="L197" s="8"/>
      <c r="M197" s="8" t="s">
        <v>873</v>
      </c>
      <c r="N197" s="8" t="s">
        <v>258</v>
      </c>
      <c r="O197" s="8" t="s">
        <v>44</v>
      </c>
      <c r="P197" s="8" t="s">
        <v>204</v>
      </c>
      <c r="Q197" s="8"/>
      <c r="R197" s="8"/>
      <c r="S197" s="8"/>
      <c r="T197" s="8" t="s">
        <v>48</v>
      </c>
      <c r="U197" s="8"/>
    </row>
    <row r="198" spans="1:21" x14ac:dyDescent="0.25">
      <c r="A198" s="7">
        <v>620</v>
      </c>
      <c r="B198" s="8" t="s">
        <v>1353</v>
      </c>
      <c r="C198" s="8" t="s">
        <v>33</v>
      </c>
      <c r="D198" s="9">
        <v>39288</v>
      </c>
      <c r="E198" s="8" t="s">
        <v>9</v>
      </c>
      <c r="F198" s="8" t="s">
        <v>417</v>
      </c>
      <c r="G198" s="8" t="s">
        <v>48</v>
      </c>
      <c r="H198" s="8"/>
      <c r="I198" s="8" t="s">
        <v>874</v>
      </c>
      <c r="J198" s="8"/>
      <c r="K198" s="8"/>
      <c r="L198" s="8" t="s">
        <v>61</v>
      </c>
      <c r="M198" s="8" t="s">
        <v>65</v>
      </c>
      <c r="N198" s="8" t="s">
        <v>469</v>
      </c>
      <c r="O198" s="8"/>
      <c r="P198" s="8" t="s">
        <v>204</v>
      </c>
      <c r="Q198" s="8"/>
      <c r="R198" s="8"/>
      <c r="S198" s="8"/>
      <c r="T198" s="8" t="s">
        <v>48</v>
      </c>
      <c r="U198" s="8"/>
    </row>
    <row r="199" spans="1:21" x14ac:dyDescent="0.25">
      <c r="A199" s="7">
        <v>621</v>
      </c>
      <c r="B199" s="8" t="s">
        <v>875</v>
      </c>
      <c r="C199" s="8" t="s">
        <v>33</v>
      </c>
      <c r="D199" s="9">
        <v>40461</v>
      </c>
      <c r="E199" s="8" t="s">
        <v>9</v>
      </c>
      <c r="F199" s="8" t="s">
        <v>836</v>
      </c>
      <c r="G199" s="8" t="s">
        <v>48</v>
      </c>
      <c r="H199" s="8"/>
      <c r="I199" s="8"/>
      <c r="J199" s="8" t="s">
        <v>876</v>
      </c>
      <c r="K199" s="8"/>
      <c r="L199" s="8"/>
      <c r="M199" s="8" t="s">
        <v>877</v>
      </c>
      <c r="N199" s="8" t="s">
        <v>359</v>
      </c>
      <c r="O199" s="8"/>
      <c r="P199" s="8" t="s">
        <v>45</v>
      </c>
      <c r="Q199" s="8" t="s">
        <v>55</v>
      </c>
      <c r="R199" s="8"/>
      <c r="S199" s="8"/>
      <c r="T199" s="8" t="s">
        <v>48</v>
      </c>
      <c r="U199" s="8"/>
    </row>
    <row r="200" spans="1:21" x14ac:dyDescent="0.25">
      <c r="A200" s="7">
        <v>702</v>
      </c>
      <c r="B200" s="8" t="s">
        <v>508</v>
      </c>
      <c r="C200" s="8" t="s">
        <v>33</v>
      </c>
      <c r="D200" s="9">
        <v>25693</v>
      </c>
      <c r="E200" s="8" t="s">
        <v>34</v>
      </c>
      <c r="F200" s="8"/>
      <c r="G200" s="8" t="s">
        <v>36</v>
      </c>
      <c r="H200" s="8"/>
      <c r="I200" s="8" t="s">
        <v>509</v>
      </c>
      <c r="J200" s="8"/>
      <c r="K200" s="8"/>
      <c r="L200" s="8" t="s">
        <v>61</v>
      </c>
      <c r="M200" s="8" t="s">
        <v>65</v>
      </c>
      <c r="N200" s="8" t="s">
        <v>510</v>
      </c>
      <c r="O200" s="8"/>
      <c r="P200" s="8" t="s">
        <v>511</v>
      </c>
      <c r="Q200" s="8" t="s">
        <v>93</v>
      </c>
      <c r="R200" s="8" t="s">
        <v>47</v>
      </c>
      <c r="S200" s="8"/>
      <c r="T200" s="8" t="s">
        <v>48</v>
      </c>
      <c r="U200" s="8"/>
    </row>
    <row r="201" spans="1:21" x14ac:dyDescent="0.25">
      <c r="A201" s="7">
        <v>703</v>
      </c>
      <c r="B201" s="8" t="s">
        <v>594</v>
      </c>
      <c r="C201" s="8" t="s">
        <v>33</v>
      </c>
      <c r="D201" s="9">
        <v>34727</v>
      </c>
      <c r="E201" s="8" t="s">
        <v>34</v>
      </c>
      <c r="F201" s="8"/>
      <c r="G201" s="8" t="s">
        <v>36</v>
      </c>
      <c r="H201" s="8"/>
      <c r="I201" s="8" t="s">
        <v>595</v>
      </c>
      <c r="J201" s="8"/>
      <c r="K201" s="8"/>
      <c r="L201" s="8" t="s">
        <v>596</v>
      </c>
      <c r="M201" s="8" t="s">
        <v>62</v>
      </c>
      <c r="N201" s="8" t="s">
        <v>597</v>
      </c>
      <c r="O201" s="8" t="s">
        <v>124</v>
      </c>
      <c r="P201" s="8" t="s">
        <v>42</v>
      </c>
      <c r="Q201" s="8" t="s">
        <v>93</v>
      </c>
      <c r="R201" s="8" t="s">
        <v>47</v>
      </c>
      <c r="S201" s="8"/>
      <c r="T201" s="8" t="s">
        <v>48</v>
      </c>
      <c r="U201" s="8"/>
    </row>
    <row r="202" spans="1:21" x14ac:dyDescent="0.25">
      <c r="A202" s="7">
        <v>710</v>
      </c>
      <c r="B202" s="8" t="s">
        <v>878</v>
      </c>
      <c r="C202" s="8" t="s">
        <v>33</v>
      </c>
      <c r="D202" s="9">
        <v>40007</v>
      </c>
      <c r="E202" s="8" t="s">
        <v>10</v>
      </c>
      <c r="F202" s="8"/>
      <c r="G202" s="8" t="s">
        <v>48</v>
      </c>
      <c r="H202" s="8"/>
      <c r="I202" s="8" t="s">
        <v>879</v>
      </c>
      <c r="J202" s="8"/>
      <c r="K202" s="8"/>
      <c r="L202" s="8"/>
      <c r="M202" s="8" t="s">
        <v>552</v>
      </c>
      <c r="N202" s="8" t="s">
        <v>880</v>
      </c>
      <c r="O202" s="8" t="s">
        <v>881</v>
      </c>
      <c r="P202" s="8" t="s">
        <v>72</v>
      </c>
      <c r="Q202" s="8" t="s">
        <v>93</v>
      </c>
      <c r="R202" s="8" t="s">
        <v>47</v>
      </c>
      <c r="S202" s="8"/>
      <c r="T202" s="8" t="s">
        <v>48</v>
      </c>
      <c r="U202" s="8"/>
    </row>
    <row r="203" spans="1:21" x14ac:dyDescent="0.25">
      <c r="A203" s="7">
        <v>711</v>
      </c>
      <c r="B203" s="8" t="s">
        <v>882</v>
      </c>
      <c r="C203" s="8" t="s">
        <v>33</v>
      </c>
      <c r="D203" s="9">
        <v>39720</v>
      </c>
      <c r="E203" s="8" t="s">
        <v>10</v>
      </c>
      <c r="F203" s="8"/>
      <c r="G203" s="8" t="s">
        <v>48</v>
      </c>
      <c r="H203" s="8"/>
      <c r="I203" s="8" t="s">
        <v>883</v>
      </c>
      <c r="J203" s="8"/>
      <c r="K203" s="8"/>
      <c r="L203" s="8"/>
      <c r="M203" s="8" t="s">
        <v>884</v>
      </c>
      <c r="N203" s="8" t="s">
        <v>461</v>
      </c>
      <c r="O203" s="8"/>
      <c r="P203" s="8" t="s">
        <v>204</v>
      </c>
      <c r="Q203" s="8"/>
      <c r="R203" s="8" t="s">
        <v>47</v>
      </c>
      <c r="S203" s="8" t="s">
        <v>885</v>
      </c>
      <c r="T203" s="8" t="s">
        <v>48</v>
      </c>
      <c r="U203" s="8" t="s">
        <v>886</v>
      </c>
    </row>
    <row r="204" spans="1:21" x14ac:dyDescent="0.25">
      <c r="A204" s="7">
        <v>712</v>
      </c>
      <c r="B204" s="8" t="s">
        <v>887</v>
      </c>
      <c r="C204" s="8" t="s">
        <v>33</v>
      </c>
      <c r="D204" s="9">
        <v>39548</v>
      </c>
      <c r="E204" s="8" t="s">
        <v>10</v>
      </c>
      <c r="F204" s="8"/>
      <c r="G204" s="8" t="s">
        <v>48</v>
      </c>
      <c r="H204" s="8"/>
      <c r="I204" s="8" t="s">
        <v>888</v>
      </c>
      <c r="J204" s="8"/>
      <c r="K204" s="8"/>
      <c r="L204" s="8"/>
      <c r="M204" s="8" t="s">
        <v>889</v>
      </c>
      <c r="N204" s="8" t="s">
        <v>461</v>
      </c>
      <c r="O204" s="8"/>
      <c r="P204" s="8" t="s">
        <v>204</v>
      </c>
      <c r="Q204" s="8"/>
      <c r="R204" s="8" t="s">
        <v>47</v>
      </c>
      <c r="S204" s="8" t="s">
        <v>885</v>
      </c>
      <c r="T204" s="8" t="s">
        <v>48</v>
      </c>
      <c r="U204" s="8" t="s">
        <v>890</v>
      </c>
    </row>
    <row r="205" spans="1:21" x14ac:dyDescent="0.25">
      <c r="A205" s="7">
        <v>713</v>
      </c>
      <c r="B205" s="8" t="s">
        <v>891</v>
      </c>
      <c r="C205" s="8" t="s">
        <v>33</v>
      </c>
      <c r="D205" s="9">
        <v>39846</v>
      </c>
      <c r="E205" s="8" t="s">
        <v>10</v>
      </c>
      <c r="F205" s="8"/>
      <c r="G205" s="8" t="s">
        <v>48</v>
      </c>
      <c r="H205" s="8"/>
      <c r="I205" s="8" t="s">
        <v>892</v>
      </c>
      <c r="J205" s="8"/>
      <c r="K205" s="8"/>
      <c r="L205" s="8"/>
      <c r="M205" s="8" t="s">
        <v>143</v>
      </c>
      <c r="N205" s="8" t="s">
        <v>893</v>
      </c>
      <c r="O205" s="8" t="s">
        <v>124</v>
      </c>
      <c r="P205" s="8" t="s">
        <v>62</v>
      </c>
      <c r="Q205" s="8" t="s">
        <v>398</v>
      </c>
      <c r="R205" s="8" t="s">
        <v>47</v>
      </c>
      <c r="S205" s="8"/>
      <c r="T205" s="8" t="s">
        <v>48</v>
      </c>
      <c r="U205" s="8" t="s">
        <v>894</v>
      </c>
    </row>
    <row r="206" spans="1:21" x14ac:dyDescent="0.25">
      <c r="A206" s="7">
        <v>714</v>
      </c>
      <c r="B206" s="8" t="s">
        <v>1445</v>
      </c>
      <c r="C206" s="8" t="s">
        <v>33</v>
      </c>
      <c r="D206" s="9">
        <v>0</v>
      </c>
      <c r="E206" s="8" t="s">
        <v>10</v>
      </c>
      <c r="F206" s="8"/>
      <c r="G206" s="8" t="s">
        <v>48</v>
      </c>
      <c r="H206" s="8"/>
      <c r="I206" s="8" t="s">
        <v>895</v>
      </c>
      <c r="J206" s="8"/>
      <c r="K206" s="8"/>
      <c r="L206" s="8"/>
      <c r="M206" s="8" t="s">
        <v>55</v>
      </c>
      <c r="N206" s="8" t="s">
        <v>896</v>
      </c>
      <c r="O206" s="8" t="s">
        <v>622</v>
      </c>
      <c r="P206" s="8" t="s">
        <v>42</v>
      </c>
      <c r="Q206" s="8" t="s">
        <v>398</v>
      </c>
      <c r="R206" s="8" t="s">
        <v>47</v>
      </c>
      <c r="S206" s="8" t="s">
        <v>897</v>
      </c>
      <c r="T206" s="8" t="s">
        <v>48</v>
      </c>
      <c r="U206" s="8" t="s">
        <v>898</v>
      </c>
    </row>
    <row r="207" spans="1:21" x14ac:dyDescent="0.25">
      <c r="A207" s="7">
        <v>715</v>
      </c>
      <c r="B207" s="8" t="s">
        <v>899</v>
      </c>
      <c r="C207" s="8" t="s">
        <v>33</v>
      </c>
      <c r="D207" s="9">
        <v>39945</v>
      </c>
      <c r="E207" s="8" t="s">
        <v>10</v>
      </c>
      <c r="F207" s="8"/>
      <c r="G207" s="8" t="s">
        <v>48</v>
      </c>
      <c r="H207" s="8"/>
      <c r="I207" s="8" t="s">
        <v>900</v>
      </c>
      <c r="J207" s="8"/>
      <c r="K207" s="8"/>
      <c r="L207" s="8"/>
      <c r="M207" s="8" t="s">
        <v>93</v>
      </c>
      <c r="N207" s="8" t="s">
        <v>901</v>
      </c>
      <c r="O207" s="8" t="s">
        <v>242</v>
      </c>
      <c r="P207" s="8"/>
      <c r="Q207" s="8"/>
      <c r="R207" s="8" t="s">
        <v>47</v>
      </c>
      <c r="S207" s="8"/>
      <c r="T207" s="8" t="s">
        <v>48</v>
      </c>
      <c r="U207" s="8" t="s">
        <v>902</v>
      </c>
    </row>
    <row r="208" spans="1:21" x14ac:dyDescent="0.25">
      <c r="A208" s="7">
        <v>716</v>
      </c>
      <c r="B208" s="8" t="s">
        <v>1354</v>
      </c>
      <c r="C208" s="8" t="s">
        <v>33</v>
      </c>
      <c r="D208" s="9">
        <v>39780</v>
      </c>
      <c r="E208" s="8" t="s">
        <v>10</v>
      </c>
      <c r="F208" s="8" t="s">
        <v>133</v>
      </c>
      <c r="G208" s="8" t="s">
        <v>48</v>
      </c>
      <c r="H208" s="8"/>
      <c r="I208" s="8" t="s">
        <v>903</v>
      </c>
      <c r="J208" s="8" t="s">
        <v>1355</v>
      </c>
      <c r="K208" s="8" t="s">
        <v>903</v>
      </c>
      <c r="L208" s="8" t="s">
        <v>41</v>
      </c>
      <c r="M208" s="8" t="s">
        <v>235</v>
      </c>
      <c r="N208" s="8" t="s">
        <v>461</v>
      </c>
      <c r="O208" s="8"/>
      <c r="P208" s="8" t="s">
        <v>204</v>
      </c>
      <c r="Q208" s="8" t="s">
        <v>204</v>
      </c>
      <c r="R208" s="8" t="s">
        <v>47</v>
      </c>
      <c r="S208" s="8" t="s">
        <v>885</v>
      </c>
      <c r="T208" s="8" t="s">
        <v>36</v>
      </c>
      <c r="U208" s="8" t="s">
        <v>1356</v>
      </c>
    </row>
    <row r="209" spans="1:21" x14ac:dyDescent="0.25">
      <c r="A209" s="7">
        <v>717</v>
      </c>
      <c r="B209" s="8" t="s">
        <v>904</v>
      </c>
      <c r="C209" s="8" t="s">
        <v>33</v>
      </c>
      <c r="D209" s="9">
        <v>39352</v>
      </c>
      <c r="E209" s="8" t="s">
        <v>10</v>
      </c>
      <c r="F209" s="8" t="s">
        <v>417</v>
      </c>
      <c r="G209" s="8" t="s">
        <v>48</v>
      </c>
      <c r="H209" s="8"/>
      <c r="I209" s="8" t="s">
        <v>905</v>
      </c>
      <c r="J209" s="8" t="s">
        <v>906</v>
      </c>
      <c r="K209" s="8"/>
      <c r="L209" s="8"/>
      <c r="M209" s="8" t="s">
        <v>533</v>
      </c>
      <c r="N209" s="8" t="s">
        <v>907</v>
      </c>
      <c r="O209" s="8"/>
      <c r="P209" s="8" t="s">
        <v>204</v>
      </c>
      <c r="Q209" s="8"/>
      <c r="R209" s="8" t="s">
        <v>47</v>
      </c>
      <c r="S209" s="8" t="s">
        <v>908</v>
      </c>
      <c r="T209" s="8" t="s">
        <v>48</v>
      </c>
      <c r="U209" s="8" t="s">
        <v>909</v>
      </c>
    </row>
    <row r="210" spans="1:21" x14ac:dyDescent="0.25">
      <c r="A210" s="7">
        <v>718</v>
      </c>
      <c r="B210" s="8" t="s">
        <v>1446</v>
      </c>
      <c r="C210" s="8" t="s">
        <v>33</v>
      </c>
      <c r="D210" s="9">
        <v>40115</v>
      </c>
      <c r="E210" s="8" t="s">
        <v>10</v>
      </c>
      <c r="F210" s="8"/>
      <c r="G210" s="8" t="s">
        <v>48</v>
      </c>
      <c r="H210" s="8"/>
      <c r="I210" s="8" t="s">
        <v>910</v>
      </c>
      <c r="J210" s="8"/>
      <c r="K210" s="8"/>
      <c r="L210" s="8" t="s">
        <v>153</v>
      </c>
      <c r="M210" s="8" t="s">
        <v>119</v>
      </c>
      <c r="N210" s="8" t="s">
        <v>911</v>
      </c>
      <c r="O210" s="8" t="s">
        <v>176</v>
      </c>
      <c r="P210" s="8" t="s">
        <v>204</v>
      </c>
      <c r="Q210" s="8"/>
      <c r="R210" s="8" t="s">
        <v>47</v>
      </c>
      <c r="S210" s="8"/>
      <c r="T210" s="8" t="s">
        <v>48</v>
      </c>
      <c r="U210" s="8" t="s">
        <v>912</v>
      </c>
    </row>
    <row r="211" spans="1:21" x14ac:dyDescent="0.25">
      <c r="A211" s="7">
        <v>719</v>
      </c>
      <c r="B211" s="8" t="s">
        <v>1357</v>
      </c>
      <c r="C211" s="8" t="s">
        <v>33</v>
      </c>
      <c r="D211" s="9">
        <v>39703</v>
      </c>
      <c r="E211" s="8" t="s">
        <v>10</v>
      </c>
      <c r="F211" s="8" t="s">
        <v>1358</v>
      </c>
      <c r="G211" s="8" t="s">
        <v>48</v>
      </c>
      <c r="H211" s="8"/>
      <c r="I211" s="8" t="s">
        <v>913</v>
      </c>
      <c r="J211" s="8"/>
      <c r="K211" s="8"/>
      <c r="L211" s="8"/>
      <c r="M211" s="8" t="s">
        <v>83</v>
      </c>
      <c r="N211" s="8" t="s">
        <v>1359</v>
      </c>
      <c r="O211" s="8" t="s">
        <v>461</v>
      </c>
      <c r="P211" s="8" t="s">
        <v>51</v>
      </c>
      <c r="Q211" s="8" t="s">
        <v>1360</v>
      </c>
      <c r="R211" s="8" t="s">
        <v>47</v>
      </c>
      <c r="S211" s="8" t="s">
        <v>914</v>
      </c>
      <c r="T211" s="8" t="s">
        <v>48</v>
      </c>
      <c r="U211" s="8" t="s">
        <v>915</v>
      </c>
    </row>
    <row r="212" spans="1:21" x14ac:dyDescent="0.25">
      <c r="A212" s="7">
        <v>720</v>
      </c>
      <c r="B212" s="8" t="s">
        <v>1447</v>
      </c>
      <c r="C212" s="8" t="s">
        <v>33</v>
      </c>
      <c r="D212" s="9">
        <v>39458</v>
      </c>
      <c r="E212" s="8" t="s">
        <v>10</v>
      </c>
      <c r="F212" s="8"/>
      <c r="G212" s="8" t="s">
        <v>48</v>
      </c>
      <c r="H212" s="8"/>
      <c r="I212" s="8" t="s">
        <v>916</v>
      </c>
      <c r="J212" s="8"/>
      <c r="K212" s="8"/>
      <c r="L212" s="8"/>
      <c r="M212" s="8" t="s">
        <v>55</v>
      </c>
      <c r="N212" s="8" t="s">
        <v>917</v>
      </c>
      <c r="O212" s="8" t="s">
        <v>52</v>
      </c>
      <c r="P212" s="8" t="s">
        <v>62</v>
      </c>
      <c r="Q212" s="8" t="s">
        <v>46</v>
      </c>
      <c r="R212" s="8" t="s">
        <v>47</v>
      </c>
      <c r="S212" s="8"/>
      <c r="T212" s="8" t="s">
        <v>48</v>
      </c>
      <c r="U212" s="8" t="s">
        <v>918</v>
      </c>
    </row>
    <row r="213" spans="1:21" x14ac:dyDescent="0.25">
      <c r="A213" s="7">
        <v>721</v>
      </c>
      <c r="B213" s="8" t="s">
        <v>919</v>
      </c>
      <c r="C213" s="8" t="s">
        <v>33</v>
      </c>
      <c r="D213" s="9">
        <v>40051</v>
      </c>
      <c r="E213" s="8" t="s">
        <v>10</v>
      </c>
      <c r="F213" s="8"/>
      <c r="G213" s="8" t="s">
        <v>48</v>
      </c>
      <c r="H213" s="8"/>
      <c r="I213" s="8" t="s">
        <v>920</v>
      </c>
      <c r="J213" s="8" t="s">
        <v>921</v>
      </c>
      <c r="K213" s="8" t="s">
        <v>922</v>
      </c>
      <c r="L213" s="8" t="s">
        <v>61</v>
      </c>
      <c r="M213" s="8" t="s">
        <v>119</v>
      </c>
      <c r="N213" s="8" t="s">
        <v>864</v>
      </c>
      <c r="O213" s="8"/>
      <c r="P213" s="8" t="s">
        <v>143</v>
      </c>
      <c r="Q213" s="8" t="s">
        <v>122</v>
      </c>
      <c r="R213" s="8" t="s">
        <v>47</v>
      </c>
      <c r="S213" s="8" t="s">
        <v>923</v>
      </c>
      <c r="T213" s="8" t="s">
        <v>48</v>
      </c>
      <c r="U213" s="8" t="s">
        <v>924</v>
      </c>
    </row>
    <row r="214" spans="1:21" x14ac:dyDescent="0.25">
      <c r="A214" s="7">
        <v>722</v>
      </c>
      <c r="B214" s="8" t="s">
        <v>925</v>
      </c>
      <c r="C214" s="8" t="s">
        <v>33</v>
      </c>
      <c r="D214" s="9">
        <v>39711</v>
      </c>
      <c r="E214" s="8" t="s">
        <v>10</v>
      </c>
      <c r="F214" s="8"/>
      <c r="G214" s="8" t="s">
        <v>48</v>
      </c>
      <c r="H214" s="8"/>
      <c r="I214" s="8" t="s">
        <v>926</v>
      </c>
      <c r="J214" s="8" t="s">
        <v>927</v>
      </c>
      <c r="K214" s="8" t="s">
        <v>928</v>
      </c>
      <c r="L214" s="8" t="s">
        <v>41</v>
      </c>
      <c r="M214" s="8" t="s">
        <v>65</v>
      </c>
      <c r="N214" s="8" t="s">
        <v>171</v>
      </c>
      <c r="O214" s="8"/>
      <c r="P214" s="8" t="s">
        <v>42</v>
      </c>
      <c r="Q214" s="8" t="s">
        <v>289</v>
      </c>
      <c r="R214" s="8" t="s">
        <v>47</v>
      </c>
      <c r="S214" s="8" t="s">
        <v>274</v>
      </c>
      <c r="T214" s="8" t="s">
        <v>48</v>
      </c>
      <c r="U214" s="8" t="s">
        <v>924</v>
      </c>
    </row>
    <row r="215" spans="1:21" x14ac:dyDescent="0.25">
      <c r="A215" s="7">
        <v>723</v>
      </c>
      <c r="B215" s="8" t="s">
        <v>929</v>
      </c>
      <c r="C215" s="8" t="s">
        <v>33</v>
      </c>
      <c r="D215" s="9">
        <v>39737</v>
      </c>
      <c r="E215" s="8" t="s">
        <v>10</v>
      </c>
      <c r="F215" s="8"/>
      <c r="G215" s="8" t="s">
        <v>48</v>
      </c>
      <c r="H215" s="8"/>
      <c r="I215" s="8" t="s">
        <v>930</v>
      </c>
      <c r="J215" s="8"/>
      <c r="K215" s="8"/>
      <c r="L215" s="8"/>
      <c r="M215" s="8" t="s">
        <v>931</v>
      </c>
      <c r="N215" s="8" t="s">
        <v>932</v>
      </c>
      <c r="O215" s="8" t="s">
        <v>933</v>
      </c>
      <c r="P215" s="8" t="s">
        <v>55</v>
      </c>
      <c r="Q215" s="8" t="s">
        <v>83</v>
      </c>
      <c r="R215" s="8" t="s">
        <v>47</v>
      </c>
      <c r="S215" s="8"/>
      <c r="T215" s="8" t="s">
        <v>48</v>
      </c>
      <c r="U215" s="8" t="s">
        <v>934</v>
      </c>
    </row>
    <row r="216" spans="1:21" x14ac:dyDescent="0.25">
      <c r="A216" s="7">
        <v>724</v>
      </c>
      <c r="B216" s="8" t="s">
        <v>935</v>
      </c>
      <c r="C216" s="8" t="s">
        <v>33</v>
      </c>
      <c r="D216" s="9">
        <v>39772</v>
      </c>
      <c r="E216" s="8" t="s">
        <v>10</v>
      </c>
      <c r="F216" s="8"/>
      <c r="G216" s="8" t="s">
        <v>48</v>
      </c>
      <c r="H216" s="8"/>
      <c r="I216" s="8" t="s">
        <v>936</v>
      </c>
      <c r="J216" s="8"/>
      <c r="K216" s="8"/>
      <c r="L216" s="8"/>
      <c r="M216" s="8" t="s">
        <v>93</v>
      </c>
      <c r="N216" s="8" t="s">
        <v>937</v>
      </c>
      <c r="O216" s="8" t="s">
        <v>938</v>
      </c>
      <c r="P216" s="8" t="s">
        <v>204</v>
      </c>
      <c r="Q216" s="8"/>
      <c r="R216" s="8" t="s">
        <v>939</v>
      </c>
      <c r="S216" s="8"/>
      <c r="T216" s="8" t="s">
        <v>48</v>
      </c>
      <c r="U216" s="8" t="s">
        <v>940</v>
      </c>
    </row>
    <row r="217" spans="1:21" x14ac:dyDescent="0.25">
      <c r="A217" s="7">
        <v>725</v>
      </c>
      <c r="B217" s="8" t="s">
        <v>941</v>
      </c>
      <c r="C217" s="8" t="s">
        <v>33</v>
      </c>
      <c r="D217" s="9">
        <v>39908</v>
      </c>
      <c r="E217" s="8" t="s">
        <v>10</v>
      </c>
      <c r="F217" s="8"/>
      <c r="G217" s="8" t="s">
        <v>48</v>
      </c>
      <c r="H217" s="8"/>
      <c r="I217" s="8" t="s">
        <v>942</v>
      </c>
      <c r="J217" s="8"/>
      <c r="K217" s="8"/>
      <c r="L217" s="8"/>
      <c r="M217" s="8" t="s">
        <v>143</v>
      </c>
      <c r="N217" s="8" t="s">
        <v>943</v>
      </c>
      <c r="O217" s="8" t="s">
        <v>242</v>
      </c>
      <c r="P217" s="8"/>
      <c r="Q217" s="8"/>
      <c r="R217" s="8" t="s">
        <v>47</v>
      </c>
      <c r="S217" s="8" t="s">
        <v>944</v>
      </c>
      <c r="T217" s="8" t="s">
        <v>48</v>
      </c>
      <c r="U217" s="8" t="s">
        <v>945</v>
      </c>
    </row>
    <row r="218" spans="1:21" x14ac:dyDescent="0.25">
      <c r="A218" s="7">
        <v>726</v>
      </c>
      <c r="B218" s="8" t="s">
        <v>946</v>
      </c>
      <c r="C218" s="8" t="s">
        <v>33</v>
      </c>
      <c r="D218" s="9">
        <v>0</v>
      </c>
      <c r="E218" s="8" t="s">
        <v>10</v>
      </c>
      <c r="F218" s="8"/>
      <c r="G218" s="8" t="s">
        <v>48</v>
      </c>
      <c r="H218" s="8"/>
      <c r="I218" s="8" t="s">
        <v>947</v>
      </c>
      <c r="J218" s="8"/>
      <c r="K218" s="8"/>
      <c r="L218" s="8"/>
      <c r="M218" s="8" t="s">
        <v>81</v>
      </c>
      <c r="N218" s="8" t="s">
        <v>202</v>
      </c>
      <c r="O218" s="8"/>
      <c r="P218" s="8" t="s">
        <v>204</v>
      </c>
      <c r="Q218" s="8"/>
      <c r="R218" s="8" t="s">
        <v>47</v>
      </c>
      <c r="S218" s="8" t="s">
        <v>948</v>
      </c>
      <c r="T218" s="8" t="s">
        <v>48</v>
      </c>
      <c r="U218" s="8" t="s">
        <v>949</v>
      </c>
    </row>
    <row r="219" spans="1:21" x14ac:dyDescent="0.25">
      <c r="A219" s="7">
        <v>727</v>
      </c>
      <c r="B219" s="8" t="s">
        <v>1281</v>
      </c>
      <c r="C219" s="8" t="s">
        <v>33</v>
      </c>
      <c r="D219" s="9">
        <v>40073</v>
      </c>
      <c r="E219" s="8" t="s">
        <v>10</v>
      </c>
      <c r="F219" s="8"/>
      <c r="G219" s="8" t="s">
        <v>48</v>
      </c>
      <c r="H219" s="8"/>
      <c r="I219" s="8" t="s">
        <v>950</v>
      </c>
      <c r="J219" s="8"/>
      <c r="K219" s="8"/>
      <c r="L219" s="8"/>
      <c r="M219" s="8" t="s">
        <v>235</v>
      </c>
      <c r="N219" s="8" t="s">
        <v>951</v>
      </c>
      <c r="O219" s="8"/>
      <c r="P219" s="8" t="s">
        <v>45</v>
      </c>
      <c r="Q219" s="8"/>
      <c r="R219" s="8" t="s">
        <v>47</v>
      </c>
      <c r="S219" s="8"/>
      <c r="T219" s="8" t="s">
        <v>48</v>
      </c>
      <c r="U219" s="8" t="s">
        <v>952</v>
      </c>
    </row>
    <row r="220" spans="1:21" x14ac:dyDescent="0.25">
      <c r="A220" s="7">
        <v>728</v>
      </c>
      <c r="B220" s="8" t="s">
        <v>1448</v>
      </c>
      <c r="C220" s="8" t="s">
        <v>33</v>
      </c>
      <c r="D220" s="9">
        <v>39558</v>
      </c>
      <c r="E220" s="8" t="s">
        <v>10</v>
      </c>
      <c r="F220" s="8"/>
      <c r="G220" s="8" t="s">
        <v>48</v>
      </c>
      <c r="H220" s="8"/>
      <c r="I220" s="8" t="s">
        <v>953</v>
      </c>
      <c r="J220" s="8"/>
      <c r="K220" s="8"/>
      <c r="L220" s="8"/>
      <c r="M220" s="8" t="s">
        <v>235</v>
      </c>
      <c r="N220" s="8" t="s">
        <v>52</v>
      </c>
      <c r="O220" s="8"/>
      <c r="P220" s="8" t="s">
        <v>46</v>
      </c>
      <c r="Q220" s="8" t="s">
        <v>362</v>
      </c>
      <c r="R220" s="8" t="s">
        <v>47</v>
      </c>
      <c r="S220" s="8"/>
      <c r="T220" s="8" t="s">
        <v>48</v>
      </c>
      <c r="U220" s="8" t="s">
        <v>954</v>
      </c>
    </row>
    <row r="221" spans="1:21" x14ac:dyDescent="0.25">
      <c r="A221" s="7">
        <v>729</v>
      </c>
      <c r="B221" s="8" t="s">
        <v>1283</v>
      </c>
      <c r="C221" s="8" t="s">
        <v>33</v>
      </c>
      <c r="D221" s="9">
        <v>39667</v>
      </c>
      <c r="E221" s="8" t="s">
        <v>10</v>
      </c>
      <c r="F221" s="8"/>
      <c r="G221" s="8" t="s">
        <v>48</v>
      </c>
      <c r="H221" s="8"/>
      <c r="I221" s="8" t="s">
        <v>955</v>
      </c>
      <c r="J221" s="8"/>
      <c r="K221" s="8"/>
      <c r="L221" s="8"/>
      <c r="M221" s="8" t="s">
        <v>239</v>
      </c>
      <c r="N221" s="8" t="s">
        <v>534</v>
      </c>
      <c r="O221" s="8"/>
      <c r="P221" s="8" t="s">
        <v>204</v>
      </c>
      <c r="Q221" s="8"/>
      <c r="R221" s="8" t="s">
        <v>47</v>
      </c>
      <c r="S221" s="8" t="s">
        <v>956</v>
      </c>
      <c r="T221" s="8" t="s">
        <v>48</v>
      </c>
      <c r="U221" s="8" t="s">
        <v>957</v>
      </c>
    </row>
    <row r="222" spans="1:21" x14ac:dyDescent="0.25">
      <c r="A222" s="7">
        <v>730</v>
      </c>
      <c r="B222" s="8" t="s">
        <v>958</v>
      </c>
      <c r="C222" s="8" t="s">
        <v>33</v>
      </c>
      <c r="D222" s="9">
        <v>0</v>
      </c>
      <c r="E222" s="8" t="s">
        <v>10</v>
      </c>
      <c r="F222" s="8"/>
      <c r="G222" s="8" t="s">
        <v>48</v>
      </c>
      <c r="H222" s="8"/>
      <c r="I222" s="8" t="s">
        <v>959</v>
      </c>
      <c r="J222" s="8"/>
      <c r="K222" s="8"/>
      <c r="L222" s="8"/>
      <c r="M222" s="8" t="s">
        <v>960</v>
      </c>
      <c r="N222" s="8" t="s">
        <v>636</v>
      </c>
      <c r="O222" s="8" t="s">
        <v>622</v>
      </c>
      <c r="P222" s="8" t="s">
        <v>45</v>
      </c>
      <c r="Q222" s="8" t="s">
        <v>143</v>
      </c>
      <c r="R222" s="8" t="s">
        <v>47</v>
      </c>
      <c r="S222" s="8" t="s">
        <v>961</v>
      </c>
      <c r="T222" s="8" t="s">
        <v>48</v>
      </c>
      <c r="U222" s="8" t="s">
        <v>962</v>
      </c>
    </row>
    <row r="223" spans="1:21" x14ac:dyDescent="0.25">
      <c r="A223" s="7">
        <v>731</v>
      </c>
      <c r="B223" s="8" t="s">
        <v>963</v>
      </c>
      <c r="C223" s="8" t="s">
        <v>33</v>
      </c>
      <c r="D223" s="9">
        <v>39702</v>
      </c>
      <c r="E223" s="8" t="s">
        <v>10</v>
      </c>
      <c r="F223" s="8"/>
      <c r="G223" s="8" t="s">
        <v>48</v>
      </c>
      <c r="H223" s="8"/>
      <c r="I223" s="8" t="s">
        <v>964</v>
      </c>
      <c r="J223" s="8"/>
      <c r="K223" s="8"/>
      <c r="L223" s="8"/>
      <c r="M223" s="8"/>
      <c r="N223" s="8"/>
      <c r="O223" s="8"/>
      <c r="P223" s="8"/>
      <c r="Q223" s="8"/>
      <c r="R223" s="8" t="s">
        <v>318</v>
      </c>
      <c r="S223" s="8"/>
      <c r="T223" s="8" t="s">
        <v>48</v>
      </c>
      <c r="U223" s="8" t="s">
        <v>965</v>
      </c>
    </row>
    <row r="224" spans="1:21" x14ac:dyDescent="0.25">
      <c r="A224" s="7">
        <v>732</v>
      </c>
      <c r="B224" s="8" t="s">
        <v>966</v>
      </c>
      <c r="C224" s="8" t="s">
        <v>33</v>
      </c>
      <c r="D224" s="9">
        <v>39766</v>
      </c>
      <c r="E224" s="8" t="s">
        <v>10</v>
      </c>
      <c r="F224" s="8" t="s">
        <v>58</v>
      </c>
      <c r="G224" s="8" t="s">
        <v>48</v>
      </c>
      <c r="H224" s="8"/>
      <c r="I224" s="8" t="s">
        <v>967</v>
      </c>
      <c r="J224" s="8" t="s">
        <v>968</v>
      </c>
      <c r="K224" s="8" t="s">
        <v>969</v>
      </c>
      <c r="L224" s="8"/>
      <c r="M224" s="8" t="s">
        <v>62</v>
      </c>
      <c r="N224" s="8" t="s">
        <v>502</v>
      </c>
      <c r="O224" s="8" t="s">
        <v>461</v>
      </c>
      <c r="P224" s="8" t="s">
        <v>55</v>
      </c>
      <c r="Q224" s="8" t="s">
        <v>340</v>
      </c>
      <c r="R224" s="8" t="s">
        <v>47</v>
      </c>
      <c r="S224" s="8" t="s">
        <v>970</v>
      </c>
      <c r="T224" s="8" t="s">
        <v>48</v>
      </c>
      <c r="U224" s="8" t="s">
        <v>971</v>
      </c>
    </row>
    <row r="225" spans="1:21" ht="30" x14ac:dyDescent="0.25">
      <c r="A225" s="7">
        <v>734</v>
      </c>
      <c r="B225" s="8" t="s">
        <v>974</v>
      </c>
      <c r="C225" s="8" t="s">
        <v>33</v>
      </c>
      <c r="D225" s="9">
        <v>0</v>
      </c>
      <c r="E225" s="8" t="s">
        <v>10</v>
      </c>
      <c r="F225" s="8"/>
      <c r="G225" s="8" t="s">
        <v>48</v>
      </c>
      <c r="H225" s="8"/>
      <c r="I225" s="8" t="s">
        <v>975</v>
      </c>
      <c r="J225" s="8"/>
      <c r="K225" s="8"/>
      <c r="L225" s="8"/>
      <c r="M225" s="8"/>
      <c r="N225" s="8"/>
      <c r="O225" s="8"/>
      <c r="P225" s="8"/>
      <c r="Q225" s="8"/>
      <c r="R225" s="8" t="s">
        <v>47</v>
      </c>
      <c r="S225" s="8"/>
      <c r="T225" s="8" t="s">
        <v>48</v>
      </c>
      <c r="U225" s="8" t="s">
        <v>976</v>
      </c>
    </row>
    <row r="226" spans="1:21" x14ac:dyDescent="0.25">
      <c r="A226" s="7">
        <v>735</v>
      </c>
      <c r="B226" s="8" t="s">
        <v>977</v>
      </c>
      <c r="C226" s="8" t="s">
        <v>33</v>
      </c>
      <c r="D226" s="9">
        <v>39633</v>
      </c>
      <c r="E226" s="8" t="s">
        <v>10</v>
      </c>
      <c r="F226" s="8"/>
      <c r="G226" s="8" t="s">
        <v>48</v>
      </c>
      <c r="H226" s="8"/>
      <c r="I226" s="8" t="s">
        <v>978</v>
      </c>
      <c r="J226" s="8"/>
      <c r="K226" s="8"/>
      <c r="L226" s="8"/>
      <c r="M226" s="8" t="s">
        <v>979</v>
      </c>
      <c r="N226" s="8" t="s">
        <v>980</v>
      </c>
      <c r="O226" s="8"/>
      <c r="P226" s="8" t="s">
        <v>72</v>
      </c>
      <c r="Q226" s="8" t="s">
        <v>65</v>
      </c>
      <c r="R226" s="8" t="s">
        <v>47</v>
      </c>
      <c r="S226" s="8"/>
      <c r="T226" s="8" t="s">
        <v>48</v>
      </c>
      <c r="U226" s="8" t="s">
        <v>981</v>
      </c>
    </row>
    <row r="227" spans="1:21" x14ac:dyDescent="0.25">
      <c r="A227" s="7">
        <v>736</v>
      </c>
      <c r="B227" s="8" t="s">
        <v>982</v>
      </c>
      <c r="C227" s="8" t="s">
        <v>33</v>
      </c>
      <c r="D227" s="9">
        <v>39744</v>
      </c>
      <c r="E227" s="8" t="s">
        <v>10</v>
      </c>
      <c r="F227" s="8" t="s">
        <v>983</v>
      </c>
      <c r="G227" s="8" t="s">
        <v>48</v>
      </c>
      <c r="H227" s="8"/>
      <c r="I227" s="8" t="s">
        <v>984</v>
      </c>
      <c r="J227" s="8"/>
      <c r="K227" s="8" t="s">
        <v>985</v>
      </c>
      <c r="L227" s="8" t="s">
        <v>986</v>
      </c>
      <c r="M227" s="8" t="s">
        <v>987</v>
      </c>
      <c r="N227" s="8" t="s">
        <v>176</v>
      </c>
      <c r="O227" s="8"/>
      <c r="P227" s="8" t="s">
        <v>72</v>
      </c>
      <c r="Q227" s="8" t="s">
        <v>93</v>
      </c>
      <c r="R227" s="8" t="s">
        <v>47</v>
      </c>
      <c r="S227" s="8" t="s">
        <v>988</v>
      </c>
      <c r="T227" s="8" t="s">
        <v>48</v>
      </c>
      <c r="U227" s="8"/>
    </row>
    <row r="228" spans="1:21" x14ac:dyDescent="0.25">
      <c r="A228" s="7">
        <v>737</v>
      </c>
      <c r="B228" s="8" t="s">
        <v>1282</v>
      </c>
      <c r="C228" s="8" t="s">
        <v>33</v>
      </c>
      <c r="D228" s="9">
        <v>38742</v>
      </c>
      <c r="E228" s="8" t="s">
        <v>10</v>
      </c>
      <c r="F228" s="8"/>
      <c r="G228" s="8" t="s">
        <v>48</v>
      </c>
      <c r="H228" s="8"/>
      <c r="I228" s="8" t="s">
        <v>989</v>
      </c>
      <c r="J228" s="8"/>
      <c r="K228" s="8"/>
      <c r="L228" s="8"/>
      <c r="M228" s="8" t="s">
        <v>990</v>
      </c>
      <c r="N228" s="8" t="s">
        <v>880</v>
      </c>
      <c r="O228" s="8" t="s">
        <v>176</v>
      </c>
      <c r="P228" s="8"/>
      <c r="Q228" s="8"/>
      <c r="R228" s="8" t="s">
        <v>47</v>
      </c>
      <c r="S228" s="8"/>
      <c r="T228" s="8" t="s">
        <v>48</v>
      </c>
      <c r="U228" s="8" t="s">
        <v>991</v>
      </c>
    </row>
    <row r="229" spans="1:21" x14ac:dyDescent="0.25">
      <c r="A229" s="7">
        <v>738</v>
      </c>
      <c r="B229" s="8" t="s">
        <v>992</v>
      </c>
      <c r="C229" s="8" t="s">
        <v>33</v>
      </c>
      <c r="D229" s="9">
        <v>39583</v>
      </c>
      <c r="E229" s="8" t="s">
        <v>10</v>
      </c>
      <c r="F229" s="8" t="s">
        <v>417</v>
      </c>
      <c r="G229" s="8" t="s">
        <v>48</v>
      </c>
      <c r="H229" s="8"/>
      <c r="I229" s="8" t="s">
        <v>993</v>
      </c>
      <c r="J229" s="8" t="s">
        <v>993</v>
      </c>
      <c r="K229" s="8"/>
      <c r="L229" s="8"/>
      <c r="M229" s="8" t="s">
        <v>46</v>
      </c>
      <c r="N229" s="8" t="s">
        <v>378</v>
      </c>
      <c r="O229" s="8"/>
      <c r="P229" s="8" t="s">
        <v>204</v>
      </c>
      <c r="Q229" s="8"/>
      <c r="R229" s="8" t="s">
        <v>47</v>
      </c>
      <c r="S229" s="8"/>
      <c r="T229" s="8" t="s">
        <v>48</v>
      </c>
      <c r="U229" s="8" t="s">
        <v>994</v>
      </c>
    </row>
    <row r="230" spans="1:21" x14ac:dyDescent="0.25">
      <c r="A230" s="7">
        <v>739</v>
      </c>
      <c r="B230" s="8" t="s">
        <v>995</v>
      </c>
      <c r="C230" s="8" t="s">
        <v>33</v>
      </c>
      <c r="D230" s="9">
        <v>39683</v>
      </c>
      <c r="E230" s="8" t="s">
        <v>10</v>
      </c>
      <c r="F230" s="8"/>
      <c r="G230" s="8" t="s">
        <v>48</v>
      </c>
      <c r="H230" s="8"/>
      <c r="I230" s="8" t="s">
        <v>996</v>
      </c>
      <c r="J230" s="8"/>
      <c r="K230" s="8"/>
      <c r="L230" s="8"/>
      <c r="M230" s="8" t="s">
        <v>277</v>
      </c>
      <c r="N230" s="8" t="s">
        <v>44</v>
      </c>
      <c r="O230" s="8"/>
      <c r="P230" s="8" t="s">
        <v>46</v>
      </c>
      <c r="Q230" s="8" t="s">
        <v>65</v>
      </c>
      <c r="R230" s="8" t="s">
        <v>47</v>
      </c>
      <c r="S230" s="8"/>
      <c r="T230" s="8" t="s">
        <v>48</v>
      </c>
      <c r="U230" s="8" t="s">
        <v>997</v>
      </c>
    </row>
    <row r="231" spans="1:21" x14ac:dyDescent="0.25">
      <c r="A231" s="7">
        <v>740</v>
      </c>
      <c r="B231" s="8" t="s">
        <v>998</v>
      </c>
      <c r="C231" s="8" t="s">
        <v>33</v>
      </c>
      <c r="D231" s="9">
        <v>39487</v>
      </c>
      <c r="E231" s="8" t="s">
        <v>10</v>
      </c>
      <c r="F231" s="8"/>
      <c r="G231" s="8" t="s">
        <v>48</v>
      </c>
      <c r="H231" s="8"/>
      <c r="I231" s="8" t="s">
        <v>999</v>
      </c>
      <c r="J231" s="8"/>
      <c r="K231" s="8"/>
      <c r="L231" s="8" t="s">
        <v>419</v>
      </c>
      <c r="M231" s="8" t="s">
        <v>1000</v>
      </c>
      <c r="N231" s="8" t="s">
        <v>621</v>
      </c>
      <c r="O231" s="8"/>
      <c r="P231" s="8" t="s">
        <v>93</v>
      </c>
      <c r="Q231" s="8"/>
      <c r="R231" s="8"/>
      <c r="S231" s="8" t="s">
        <v>1001</v>
      </c>
      <c r="T231" s="8" t="s">
        <v>48</v>
      </c>
      <c r="U231" s="8"/>
    </row>
    <row r="232" spans="1:21" x14ac:dyDescent="0.25">
      <c r="A232" s="7">
        <v>741</v>
      </c>
      <c r="B232" s="8" t="s">
        <v>1002</v>
      </c>
      <c r="C232" s="8" t="s">
        <v>33</v>
      </c>
      <c r="D232" s="9">
        <v>39761</v>
      </c>
      <c r="E232" s="8" t="s">
        <v>10</v>
      </c>
      <c r="F232" s="8"/>
      <c r="G232" s="8" t="s">
        <v>48</v>
      </c>
      <c r="H232" s="8"/>
      <c r="I232" s="8" t="s">
        <v>1003</v>
      </c>
      <c r="J232" s="8"/>
      <c r="K232" s="8"/>
      <c r="L232" s="8"/>
      <c r="M232" s="8" t="s">
        <v>180</v>
      </c>
      <c r="N232" s="8" t="s">
        <v>1004</v>
      </c>
      <c r="O232" s="8" t="s">
        <v>461</v>
      </c>
      <c r="P232" s="8" t="s">
        <v>204</v>
      </c>
      <c r="Q232" s="8"/>
      <c r="R232" s="8" t="s">
        <v>47</v>
      </c>
      <c r="S232" s="8" t="s">
        <v>1005</v>
      </c>
      <c r="T232" s="8" t="s">
        <v>48</v>
      </c>
      <c r="U232" s="8" t="s">
        <v>1006</v>
      </c>
    </row>
    <row r="233" spans="1:21" x14ac:dyDescent="0.25">
      <c r="A233" s="7">
        <v>742</v>
      </c>
      <c r="B233" s="8" t="s">
        <v>1007</v>
      </c>
      <c r="C233" s="8" t="s">
        <v>33</v>
      </c>
      <c r="D233" s="9">
        <v>0</v>
      </c>
      <c r="E233" s="8" t="s">
        <v>10</v>
      </c>
      <c r="F233" s="8"/>
      <c r="G233" s="8" t="s">
        <v>48</v>
      </c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 t="s">
        <v>47</v>
      </c>
      <c r="S233" s="8"/>
      <c r="T233" s="8" t="s">
        <v>48</v>
      </c>
      <c r="U233" s="8" t="s">
        <v>1008</v>
      </c>
    </row>
    <row r="234" spans="1:21" x14ac:dyDescent="0.25">
      <c r="A234" s="7">
        <v>743</v>
      </c>
      <c r="B234" s="8" t="s">
        <v>1009</v>
      </c>
      <c r="C234" s="8" t="s">
        <v>33</v>
      </c>
      <c r="D234" s="9">
        <v>39785</v>
      </c>
      <c r="E234" s="8" t="s">
        <v>10</v>
      </c>
      <c r="F234" s="8"/>
      <c r="G234" s="8" t="s">
        <v>48</v>
      </c>
      <c r="H234" s="8"/>
      <c r="I234" s="8" t="s">
        <v>1010</v>
      </c>
      <c r="J234" s="8"/>
      <c r="K234" s="8"/>
      <c r="L234" s="8"/>
      <c r="M234" s="8" t="s">
        <v>221</v>
      </c>
      <c r="N234" s="8" t="s">
        <v>760</v>
      </c>
      <c r="O234" s="8" t="s">
        <v>124</v>
      </c>
      <c r="P234" s="8"/>
      <c r="Q234" s="8"/>
      <c r="R234" s="8" t="s">
        <v>1011</v>
      </c>
      <c r="S234" s="8"/>
      <c r="T234" s="8" t="s">
        <v>48</v>
      </c>
      <c r="U234" s="8" t="s">
        <v>1012</v>
      </c>
    </row>
    <row r="235" spans="1:21" ht="45" x14ac:dyDescent="0.25">
      <c r="A235" s="7">
        <v>744</v>
      </c>
      <c r="B235" s="8" t="s">
        <v>1013</v>
      </c>
      <c r="C235" s="8" t="s">
        <v>33</v>
      </c>
      <c r="D235" s="9">
        <v>40255</v>
      </c>
      <c r="E235" s="8" t="s">
        <v>10</v>
      </c>
      <c r="F235" s="8"/>
      <c r="G235" s="8" t="s">
        <v>48</v>
      </c>
      <c r="H235" s="8"/>
      <c r="I235" s="8" t="s">
        <v>1014</v>
      </c>
      <c r="J235" s="8"/>
      <c r="K235" s="8"/>
      <c r="L235" s="8"/>
      <c r="M235" s="8"/>
      <c r="N235" s="8" t="s">
        <v>1015</v>
      </c>
      <c r="O235" s="8"/>
      <c r="P235" s="8" t="s">
        <v>72</v>
      </c>
      <c r="Q235" s="8" t="s">
        <v>45</v>
      </c>
      <c r="R235" s="8" t="s">
        <v>102</v>
      </c>
      <c r="S235" s="8"/>
      <c r="T235" s="8" t="s">
        <v>48</v>
      </c>
      <c r="U235" s="8"/>
    </row>
    <row r="236" spans="1:21" x14ac:dyDescent="0.25">
      <c r="A236" s="7">
        <v>745</v>
      </c>
      <c r="B236" s="8" t="s">
        <v>439</v>
      </c>
      <c r="C236" s="8" t="s">
        <v>33</v>
      </c>
      <c r="D236" s="9">
        <v>39876</v>
      </c>
      <c r="E236" s="8" t="s">
        <v>10</v>
      </c>
      <c r="F236" s="8" t="s">
        <v>440</v>
      </c>
      <c r="G236" s="8" t="s">
        <v>48</v>
      </c>
      <c r="H236" s="8"/>
      <c r="I236" s="8" t="s">
        <v>441</v>
      </c>
      <c r="J236" s="8" t="s">
        <v>442</v>
      </c>
      <c r="K236" s="8" t="s">
        <v>443</v>
      </c>
      <c r="L236" s="8" t="s">
        <v>444</v>
      </c>
      <c r="M236" s="8" t="s">
        <v>445</v>
      </c>
      <c r="N236" s="8" t="s">
        <v>47</v>
      </c>
      <c r="O236" s="8"/>
      <c r="P236" s="8" t="s">
        <v>62</v>
      </c>
      <c r="Q236" s="8" t="s">
        <v>93</v>
      </c>
      <c r="R236" s="8" t="s">
        <v>47</v>
      </c>
      <c r="S236" s="8" t="s">
        <v>446</v>
      </c>
      <c r="T236" s="8" t="s">
        <v>48</v>
      </c>
      <c r="U236" s="8"/>
    </row>
    <row r="237" spans="1:21" ht="45" x14ac:dyDescent="0.25">
      <c r="A237" s="7">
        <v>746</v>
      </c>
      <c r="B237" s="8" t="s">
        <v>1283</v>
      </c>
      <c r="C237" s="8" t="s">
        <v>33</v>
      </c>
      <c r="D237" s="9">
        <v>39667</v>
      </c>
      <c r="E237" s="8" t="s">
        <v>10</v>
      </c>
      <c r="F237" s="8" t="s">
        <v>133</v>
      </c>
      <c r="G237" s="8" t="s">
        <v>36</v>
      </c>
      <c r="H237" s="8"/>
      <c r="I237" s="8"/>
      <c r="J237" s="8" t="s">
        <v>955</v>
      </c>
      <c r="K237" s="8" t="s">
        <v>1284</v>
      </c>
      <c r="L237" s="8"/>
      <c r="M237" s="8"/>
      <c r="N237" s="8" t="s">
        <v>242</v>
      </c>
      <c r="O237" s="8"/>
      <c r="P237" s="8" t="s">
        <v>45</v>
      </c>
      <c r="Q237" s="8" t="s">
        <v>65</v>
      </c>
      <c r="R237" s="8" t="s">
        <v>47</v>
      </c>
      <c r="S237" s="8" t="s">
        <v>1285</v>
      </c>
      <c r="T237" s="8" t="s">
        <v>48</v>
      </c>
      <c r="U237" s="8"/>
    </row>
    <row r="238" spans="1:21" x14ac:dyDescent="0.25">
      <c r="A238" s="7">
        <v>802</v>
      </c>
      <c r="B238" s="8" t="s">
        <v>572</v>
      </c>
      <c r="C238" s="8" t="s">
        <v>33</v>
      </c>
      <c r="D238" s="9">
        <v>31807</v>
      </c>
      <c r="E238" s="8" t="s">
        <v>34</v>
      </c>
      <c r="F238" s="8"/>
      <c r="G238" s="8" t="s">
        <v>48</v>
      </c>
      <c r="H238" s="8" t="s">
        <v>573</v>
      </c>
      <c r="I238" s="8" t="s">
        <v>574</v>
      </c>
      <c r="J238" s="8"/>
      <c r="K238" s="8"/>
      <c r="L238" s="8" t="s">
        <v>567</v>
      </c>
      <c r="M238" s="8" t="s">
        <v>278</v>
      </c>
      <c r="N238" s="8" t="s">
        <v>241</v>
      </c>
      <c r="O238" s="8"/>
      <c r="P238" s="8" t="s">
        <v>45</v>
      </c>
      <c r="Q238" s="8" t="s">
        <v>51</v>
      </c>
      <c r="R238" s="8"/>
      <c r="S238" s="8" t="s">
        <v>575</v>
      </c>
      <c r="T238" s="8" t="s">
        <v>48</v>
      </c>
      <c r="U238" s="8"/>
    </row>
    <row r="239" spans="1:21" x14ac:dyDescent="0.25">
      <c r="A239" s="7">
        <v>803</v>
      </c>
      <c r="B239" s="8" t="s">
        <v>601</v>
      </c>
      <c r="C239" s="8" t="s">
        <v>33</v>
      </c>
      <c r="D239" s="9">
        <v>37009</v>
      </c>
      <c r="E239" s="8" t="s">
        <v>34</v>
      </c>
      <c r="F239" s="8"/>
      <c r="G239" s="8" t="s">
        <v>48</v>
      </c>
      <c r="H239" s="8"/>
      <c r="I239" s="8" t="s">
        <v>602</v>
      </c>
      <c r="J239" s="8"/>
      <c r="K239" s="8"/>
      <c r="L239" s="8" t="s">
        <v>567</v>
      </c>
      <c r="M239" s="8" t="s">
        <v>603</v>
      </c>
      <c r="N239" s="8" t="s">
        <v>604</v>
      </c>
      <c r="O239" s="8"/>
      <c r="P239" s="8"/>
      <c r="Q239" s="8"/>
      <c r="R239" s="8"/>
      <c r="S239" s="8"/>
      <c r="T239" s="8" t="s">
        <v>48</v>
      </c>
      <c r="U239" s="8"/>
    </row>
    <row r="240" spans="1:21" x14ac:dyDescent="0.25">
      <c r="A240" s="7">
        <v>810</v>
      </c>
      <c r="B240" s="8" t="s">
        <v>1016</v>
      </c>
      <c r="C240" s="8" t="s">
        <v>33</v>
      </c>
      <c r="D240" s="9">
        <v>39625</v>
      </c>
      <c r="E240" s="8" t="s">
        <v>11</v>
      </c>
      <c r="F240" s="8" t="s">
        <v>312</v>
      </c>
      <c r="G240" s="8" t="s">
        <v>48</v>
      </c>
      <c r="H240" s="8"/>
      <c r="I240" s="8" t="s">
        <v>1017</v>
      </c>
      <c r="J240" s="8" t="s">
        <v>1018</v>
      </c>
      <c r="K240" s="8" t="s">
        <v>1019</v>
      </c>
      <c r="L240" s="8" t="s">
        <v>41</v>
      </c>
      <c r="M240" s="8" t="s">
        <v>46</v>
      </c>
      <c r="N240" s="8" t="s">
        <v>793</v>
      </c>
      <c r="O240" s="8"/>
      <c r="P240" s="8" t="s">
        <v>278</v>
      </c>
      <c r="Q240" s="8" t="s">
        <v>460</v>
      </c>
      <c r="R240" s="8" t="s">
        <v>47</v>
      </c>
      <c r="S240" s="8" t="s">
        <v>1020</v>
      </c>
      <c r="T240" s="8" t="s">
        <v>48</v>
      </c>
      <c r="U240" s="8"/>
    </row>
    <row r="241" spans="1:21" ht="30" x14ac:dyDescent="0.25">
      <c r="A241" s="7">
        <v>811</v>
      </c>
      <c r="B241" s="8" t="s">
        <v>1021</v>
      </c>
      <c r="C241" s="8" t="s">
        <v>33</v>
      </c>
      <c r="D241" s="9">
        <v>39923</v>
      </c>
      <c r="E241" s="8" t="s">
        <v>11</v>
      </c>
      <c r="F241" s="8" t="s">
        <v>86</v>
      </c>
      <c r="G241" s="8" t="s">
        <v>48</v>
      </c>
      <c r="H241" s="8"/>
      <c r="I241" s="8" t="s">
        <v>1022</v>
      </c>
      <c r="J241" s="8" t="s">
        <v>1023</v>
      </c>
      <c r="K241" s="8" t="s">
        <v>1024</v>
      </c>
      <c r="L241" s="8" t="s">
        <v>61</v>
      </c>
      <c r="M241" s="8" t="s">
        <v>834</v>
      </c>
      <c r="N241" s="8" t="s">
        <v>124</v>
      </c>
      <c r="O241" s="8"/>
      <c r="P241" s="8" t="s">
        <v>72</v>
      </c>
      <c r="Q241" s="8" t="s">
        <v>877</v>
      </c>
      <c r="R241" s="8" t="s">
        <v>47</v>
      </c>
      <c r="S241" s="8" t="s">
        <v>1025</v>
      </c>
      <c r="T241" s="8" t="s">
        <v>48</v>
      </c>
      <c r="U241" s="8"/>
    </row>
    <row r="242" spans="1:21" x14ac:dyDescent="0.25">
      <c r="A242" s="7">
        <v>813</v>
      </c>
      <c r="B242" s="8" t="s">
        <v>1032</v>
      </c>
      <c r="C242" s="8" t="s">
        <v>33</v>
      </c>
      <c r="D242" s="9">
        <v>39664</v>
      </c>
      <c r="E242" s="8" t="s">
        <v>11</v>
      </c>
      <c r="F242" s="8" t="s">
        <v>312</v>
      </c>
      <c r="G242" s="8" t="s">
        <v>48</v>
      </c>
      <c r="H242" s="8"/>
      <c r="I242" s="8" t="s">
        <v>1033</v>
      </c>
      <c r="J242" s="8"/>
      <c r="K242" s="8" t="s">
        <v>1034</v>
      </c>
      <c r="L242" s="8" t="s">
        <v>41</v>
      </c>
      <c r="M242" s="8" t="s">
        <v>383</v>
      </c>
      <c r="N242" s="8" t="s">
        <v>1035</v>
      </c>
      <c r="O242" s="8"/>
      <c r="P242" s="8" t="s">
        <v>42</v>
      </c>
      <c r="Q242" s="8" t="s">
        <v>83</v>
      </c>
      <c r="R242" s="8" t="s">
        <v>47</v>
      </c>
      <c r="S242" s="8" t="s">
        <v>1036</v>
      </c>
      <c r="T242" s="8" t="s">
        <v>48</v>
      </c>
      <c r="U242" s="8"/>
    </row>
    <row r="243" spans="1:21" x14ac:dyDescent="0.25">
      <c r="A243" s="7">
        <v>814</v>
      </c>
      <c r="B243" s="8" t="s">
        <v>1037</v>
      </c>
      <c r="C243" s="8" t="s">
        <v>33</v>
      </c>
      <c r="D243" s="9">
        <v>39998</v>
      </c>
      <c r="E243" s="8" t="s">
        <v>11</v>
      </c>
      <c r="F243" s="8"/>
      <c r="G243" s="8" t="s">
        <v>48</v>
      </c>
      <c r="H243" s="8"/>
      <c r="I243" s="8" t="s">
        <v>1038</v>
      </c>
      <c r="J243" s="8"/>
      <c r="K243" s="8"/>
      <c r="L243" s="8"/>
      <c r="M243" s="8" t="s">
        <v>1039</v>
      </c>
      <c r="N243" s="8" t="s">
        <v>123</v>
      </c>
      <c r="O243" s="8" t="s">
        <v>124</v>
      </c>
      <c r="P243" s="8"/>
      <c r="Q243" s="8"/>
      <c r="R243" s="8" t="s">
        <v>47</v>
      </c>
      <c r="S243" s="8"/>
      <c r="T243" s="8" t="s">
        <v>48</v>
      </c>
      <c r="U243" s="8"/>
    </row>
    <row r="244" spans="1:21" x14ac:dyDescent="0.25">
      <c r="A244" s="7">
        <v>815</v>
      </c>
      <c r="B244" s="8" t="s">
        <v>1040</v>
      </c>
      <c r="C244" s="8" t="s">
        <v>33</v>
      </c>
      <c r="D244" s="9">
        <v>40005</v>
      </c>
      <c r="E244" s="8" t="s">
        <v>11</v>
      </c>
      <c r="F244" s="8" t="s">
        <v>713</v>
      </c>
      <c r="G244" s="8" t="s">
        <v>48</v>
      </c>
      <c r="H244" s="8"/>
      <c r="I244" s="8" t="s">
        <v>1041</v>
      </c>
      <c r="J244" s="8" t="s">
        <v>1042</v>
      </c>
      <c r="K244" s="8" t="s">
        <v>1043</v>
      </c>
      <c r="L244" s="8" t="s">
        <v>61</v>
      </c>
      <c r="M244" s="8" t="s">
        <v>1044</v>
      </c>
      <c r="N244" s="8" t="s">
        <v>545</v>
      </c>
      <c r="O244" s="8"/>
      <c r="P244" s="8" t="s">
        <v>55</v>
      </c>
      <c r="Q244" s="8" t="s">
        <v>180</v>
      </c>
      <c r="R244" s="8" t="s">
        <v>47</v>
      </c>
      <c r="S244" s="8" t="s">
        <v>1045</v>
      </c>
      <c r="T244" s="8" t="s">
        <v>48</v>
      </c>
      <c r="U244" s="8"/>
    </row>
    <row r="245" spans="1:21" x14ac:dyDescent="0.25">
      <c r="A245" s="7">
        <v>816</v>
      </c>
      <c r="B245" s="8" t="s">
        <v>1046</v>
      </c>
      <c r="C245" s="8" t="s">
        <v>33</v>
      </c>
      <c r="D245" s="9">
        <v>40046</v>
      </c>
      <c r="E245" s="8" t="s">
        <v>11</v>
      </c>
      <c r="F245" s="8"/>
      <c r="G245" s="8" t="s">
        <v>48</v>
      </c>
      <c r="H245" s="8"/>
      <c r="I245" s="8" t="s">
        <v>1047</v>
      </c>
      <c r="J245" s="8"/>
      <c r="K245" s="8"/>
      <c r="L245" s="8"/>
      <c r="M245" s="8" t="s">
        <v>1048</v>
      </c>
      <c r="N245" s="8" t="s">
        <v>506</v>
      </c>
      <c r="O245" s="8"/>
      <c r="P245" s="8"/>
      <c r="Q245" s="8"/>
      <c r="R245" s="8" t="s">
        <v>47</v>
      </c>
      <c r="S245" s="8"/>
      <c r="T245" s="8" t="s">
        <v>48</v>
      </c>
      <c r="U245" s="8"/>
    </row>
    <row r="246" spans="1:21" x14ac:dyDescent="0.25">
      <c r="A246" s="7">
        <v>817</v>
      </c>
      <c r="B246" s="8" t="s">
        <v>1049</v>
      </c>
      <c r="C246" s="8" t="s">
        <v>33</v>
      </c>
      <c r="D246" s="9">
        <v>39760</v>
      </c>
      <c r="E246" s="8" t="s">
        <v>11</v>
      </c>
      <c r="F246" s="8" t="s">
        <v>448</v>
      </c>
      <c r="G246" s="8" t="s">
        <v>48</v>
      </c>
      <c r="H246" s="8"/>
      <c r="I246" s="8" t="s">
        <v>1050</v>
      </c>
      <c r="J246" s="8"/>
      <c r="K246" s="8"/>
      <c r="L246" s="8" t="s">
        <v>136</v>
      </c>
      <c r="M246" s="8" t="s">
        <v>55</v>
      </c>
      <c r="N246" s="8" t="s">
        <v>1051</v>
      </c>
      <c r="O246" s="8" t="s">
        <v>461</v>
      </c>
      <c r="P246" s="8" t="s">
        <v>51</v>
      </c>
      <c r="Q246" s="8" t="s">
        <v>533</v>
      </c>
      <c r="R246" s="8" t="s">
        <v>47</v>
      </c>
      <c r="S246" s="8" t="s">
        <v>1052</v>
      </c>
      <c r="T246" s="8" t="s">
        <v>48</v>
      </c>
      <c r="U246" s="8"/>
    </row>
    <row r="247" spans="1:21" ht="60" x14ac:dyDescent="0.25">
      <c r="A247" s="7">
        <v>818</v>
      </c>
      <c r="B247" s="8" t="s">
        <v>1053</v>
      </c>
      <c r="C247" s="8" t="s">
        <v>33</v>
      </c>
      <c r="D247" s="9">
        <v>39936</v>
      </c>
      <c r="E247" s="8" t="s">
        <v>11</v>
      </c>
      <c r="F247" s="8" t="s">
        <v>78</v>
      </c>
      <c r="G247" s="8" t="s">
        <v>48</v>
      </c>
      <c r="H247" s="8"/>
      <c r="I247" s="8" t="s">
        <v>1054</v>
      </c>
      <c r="J247" s="8" t="s">
        <v>1055</v>
      </c>
      <c r="K247" s="8"/>
      <c r="L247" s="8" t="s">
        <v>41</v>
      </c>
      <c r="M247" s="8" t="s">
        <v>873</v>
      </c>
      <c r="N247" s="8" t="s">
        <v>258</v>
      </c>
      <c r="O247" s="8"/>
      <c r="P247" s="8" t="s">
        <v>72</v>
      </c>
      <c r="Q247" s="8" t="s">
        <v>42</v>
      </c>
      <c r="R247" s="8" t="s">
        <v>47</v>
      </c>
      <c r="S247" s="8" t="s">
        <v>470</v>
      </c>
      <c r="T247" s="8" t="s">
        <v>48</v>
      </c>
      <c r="U247" s="8"/>
    </row>
    <row r="248" spans="1:21" ht="60" x14ac:dyDescent="0.25">
      <c r="A248" s="7">
        <v>819</v>
      </c>
      <c r="B248" s="8" t="s">
        <v>1056</v>
      </c>
      <c r="C248" s="8" t="s">
        <v>33</v>
      </c>
      <c r="D248" s="9">
        <v>39671</v>
      </c>
      <c r="E248" s="8" t="s">
        <v>11</v>
      </c>
      <c r="F248" s="8"/>
      <c r="G248" s="8" t="s">
        <v>48</v>
      </c>
      <c r="H248" s="8"/>
      <c r="I248" s="8" t="s">
        <v>1057</v>
      </c>
      <c r="J248" s="8"/>
      <c r="K248" s="8"/>
      <c r="L248" s="8"/>
      <c r="M248" s="8" t="s">
        <v>1058</v>
      </c>
      <c r="N248" s="8" t="s">
        <v>1059</v>
      </c>
      <c r="O248" s="8"/>
      <c r="P248" s="8" t="s">
        <v>55</v>
      </c>
      <c r="Q248" s="8" t="s">
        <v>1058</v>
      </c>
      <c r="R248" s="8" t="s">
        <v>1060</v>
      </c>
      <c r="S248" s="8" t="s">
        <v>1061</v>
      </c>
      <c r="T248" s="8" t="s">
        <v>48</v>
      </c>
      <c r="U248" s="8"/>
    </row>
    <row r="249" spans="1:21" ht="30" x14ac:dyDescent="0.25">
      <c r="A249" s="7">
        <v>820</v>
      </c>
      <c r="B249" s="8" t="s">
        <v>1062</v>
      </c>
      <c r="C249" s="8" t="s">
        <v>33</v>
      </c>
      <c r="D249" s="9">
        <v>39531</v>
      </c>
      <c r="E249" s="8" t="s">
        <v>11</v>
      </c>
      <c r="F249" s="8" t="s">
        <v>1063</v>
      </c>
      <c r="G249" s="8" t="s">
        <v>48</v>
      </c>
      <c r="H249" s="8"/>
      <c r="I249" s="8" t="s">
        <v>1064</v>
      </c>
      <c r="J249" s="8" t="s">
        <v>1065</v>
      </c>
      <c r="K249" s="8"/>
      <c r="L249" s="8" t="s">
        <v>61</v>
      </c>
      <c r="M249" s="8" t="s">
        <v>55</v>
      </c>
      <c r="N249" s="8" t="s">
        <v>82</v>
      </c>
      <c r="O249" s="8"/>
      <c r="P249" s="8" t="s">
        <v>278</v>
      </c>
      <c r="Q249" s="8" t="s">
        <v>221</v>
      </c>
      <c r="R249" s="8" t="s">
        <v>47</v>
      </c>
      <c r="S249" s="8" t="s">
        <v>1066</v>
      </c>
      <c r="T249" s="8" t="s">
        <v>48</v>
      </c>
      <c r="U249" s="8"/>
    </row>
    <row r="250" spans="1:21" x14ac:dyDescent="0.25">
      <c r="A250" s="7">
        <v>821</v>
      </c>
      <c r="B250" s="8" t="s">
        <v>1067</v>
      </c>
      <c r="C250" s="8" t="s">
        <v>33</v>
      </c>
      <c r="D250" s="9">
        <v>39774</v>
      </c>
      <c r="E250" s="8" t="s">
        <v>11</v>
      </c>
      <c r="F250" s="8"/>
      <c r="G250" s="8" t="s">
        <v>48</v>
      </c>
      <c r="H250" s="8"/>
      <c r="I250" s="8" t="s">
        <v>1068</v>
      </c>
      <c r="J250" s="8"/>
      <c r="K250" s="8"/>
      <c r="L250" s="8"/>
      <c r="M250" s="8"/>
      <c r="N250" s="8" t="s">
        <v>1069</v>
      </c>
      <c r="O250" s="8"/>
      <c r="P250" s="8" t="s">
        <v>72</v>
      </c>
      <c r="Q250" s="8"/>
      <c r="R250" s="8" t="s">
        <v>47</v>
      </c>
      <c r="S250" s="8"/>
      <c r="T250" s="8" t="s">
        <v>48</v>
      </c>
      <c r="U250" s="8"/>
    </row>
    <row r="251" spans="1:21" ht="30" x14ac:dyDescent="0.25">
      <c r="A251" s="7">
        <v>822</v>
      </c>
      <c r="B251" s="8" t="s">
        <v>1070</v>
      </c>
      <c r="C251" s="8" t="s">
        <v>33</v>
      </c>
      <c r="D251" s="9">
        <v>39520</v>
      </c>
      <c r="E251" s="8" t="s">
        <v>11</v>
      </c>
      <c r="F251" s="8"/>
      <c r="G251" s="8" t="s">
        <v>48</v>
      </c>
      <c r="H251" s="8"/>
      <c r="I251" s="8" t="s">
        <v>1071</v>
      </c>
      <c r="J251" s="8"/>
      <c r="K251" s="8"/>
      <c r="L251" s="8"/>
      <c r="M251" s="8" t="s">
        <v>55</v>
      </c>
      <c r="N251" s="8" t="s">
        <v>1072</v>
      </c>
      <c r="O251" s="8" t="s">
        <v>176</v>
      </c>
      <c r="P251" s="8" t="s">
        <v>72</v>
      </c>
      <c r="Q251" s="8" t="s">
        <v>51</v>
      </c>
      <c r="R251" s="8" t="s">
        <v>47</v>
      </c>
      <c r="S251" s="8" t="s">
        <v>988</v>
      </c>
      <c r="T251" s="8" t="s">
        <v>48</v>
      </c>
      <c r="U251" s="8"/>
    </row>
    <row r="252" spans="1:21" ht="45" x14ac:dyDescent="0.25">
      <c r="A252" s="7">
        <v>823</v>
      </c>
      <c r="B252" s="8" t="s">
        <v>1073</v>
      </c>
      <c r="C252" s="8" t="s">
        <v>33</v>
      </c>
      <c r="D252" s="9">
        <v>39518</v>
      </c>
      <c r="E252" s="8" t="s">
        <v>11</v>
      </c>
      <c r="F252" s="8" t="s">
        <v>1074</v>
      </c>
      <c r="G252" s="8" t="s">
        <v>48</v>
      </c>
      <c r="H252" s="8"/>
      <c r="I252" s="8" t="s">
        <v>1075</v>
      </c>
      <c r="J252" s="8" t="s">
        <v>1076</v>
      </c>
      <c r="K252" s="8"/>
      <c r="L252" s="8" t="s">
        <v>61</v>
      </c>
      <c r="M252" s="8" t="s">
        <v>235</v>
      </c>
      <c r="N252" s="8" t="s">
        <v>545</v>
      </c>
      <c r="O252" s="8" t="s">
        <v>1077</v>
      </c>
      <c r="P252" s="8" t="s">
        <v>45</v>
      </c>
      <c r="Q252" s="8" t="s">
        <v>46</v>
      </c>
      <c r="R252" s="8" t="s">
        <v>47</v>
      </c>
      <c r="S252" s="8" t="s">
        <v>1078</v>
      </c>
      <c r="T252" s="8" t="s">
        <v>48</v>
      </c>
      <c r="U252" s="8"/>
    </row>
    <row r="253" spans="1:21" ht="45" x14ac:dyDescent="0.25">
      <c r="A253" s="7">
        <v>824</v>
      </c>
      <c r="B253" s="8" t="s">
        <v>1079</v>
      </c>
      <c r="C253" s="8" t="s">
        <v>33</v>
      </c>
      <c r="D253" s="9">
        <v>39640</v>
      </c>
      <c r="E253" s="8" t="s">
        <v>11</v>
      </c>
      <c r="F253" s="8" t="s">
        <v>1080</v>
      </c>
      <c r="G253" s="8" t="s">
        <v>48</v>
      </c>
      <c r="H253" s="8"/>
      <c r="I253" s="8" t="s">
        <v>1081</v>
      </c>
      <c r="J253" s="8"/>
      <c r="K253" s="8" t="s">
        <v>1082</v>
      </c>
      <c r="L253" s="8" t="s">
        <v>1083</v>
      </c>
      <c r="M253" s="8" t="s">
        <v>46</v>
      </c>
      <c r="N253" s="8" t="s">
        <v>52</v>
      </c>
      <c r="O253" s="8"/>
      <c r="P253" s="8" t="s">
        <v>62</v>
      </c>
      <c r="Q253" s="8"/>
      <c r="R253" s="8" t="s">
        <v>47</v>
      </c>
      <c r="S253" s="8" t="s">
        <v>1084</v>
      </c>
      <c r="T253" s="8" t="s">
        <v>48</v>
      </c>
      <c r="U253" s="8"/>
    </row>
    <row r="254" spans="1:21" ht="30" x14ac:dyDescent="0.25">
      <c r="A254" s="7">
        <v>825</v>
      </c>
      <c r="B254" s="8" t="s">
        <v>1085</v>
      </c>
      <c r="C254" s="8" t="s">
        <v>33</v>
      </c>
      <c r="D254" s="9">
        <v>39973</v>
      </c>
      <c r="E254" s="8" t="s">
        <v>11</v>
      </c>
      <c r="F254" s="8" t="s">
        <v>58</v>
      </c>
      <c r="G254" s="8" t="s">
        <v>48</v>
      </c>
      <c r="H254" s="8" t="s">
        <v>1361</v>
      </c>
      <c r="I254" s="8" t="s">
        <v>1086</v>
      </c>
      <c r="J254" s="8" t="s">
        <v>1362</v>
      </c>
      <c r="K254" s="8" t="s">
        <v>1363</v>
      </c>
      <c r="L254" s="8" t="s">
        <v>41</v>
      </c>
      <c r="M254" s="8" t="s">
        <v>55</v>
      </c>
      <c r="N254" s="8" t="s">
        <v>56</v>
      </c>
      <c r="O254" s="8" t="s">
        <v>124</v>
      </c>
      <c r="P254" s="8" t="s">
        <v>278</v>
      </c>
      <c r="Q254" s="8" t="s">
        <v>362</v>
      </c>
      <c r="R254" s="8" t="s">
        <v>98</v>
      </c>
      <c r="S254" s="8" t="s">
        <v>1364</v>
      </c>
      <c r="T254" s="8" t="s">
        <v>48</v>
      </c>
      <c r="U254" s="8"/>
    </row>
    <row r="255" spans="1:21" ht="30" x14ac:dyDescent="0.25">
      <c r="A255" s="7">
        <v>826</v>
      </c>
      <c r="B255" s="8" t="s">
        <v>1087</v>
      </c>
      <c r="C255" s="8" t="s">
        <v>33</v>
      </c>
      <c r="D255" s="9">
        <v>40060</v>
      </c>
      <c r="E255" s="8" t="s">
        <v>11</v>
      </c>
      <c r="F255" s="8"/>
      <c r="G255" s="8" t="s">
        <v>48</v>
      </c>
      <c r="H255" s="8"/>
      <c r="I255" s="8" t="s">
        <v>1088</v>
      </c>
      <c r="J255" s="8"/>
      <c r="K255" s="8"/>
      <c r="L255" s="8"/>
      <c r="M255" s="8" t="s">
        <v>277</v>
      </c>
      <c r="N255" s="8" t="s">
        <v>242</v>
      </c>
      <c r="O255" s="8" t="s">
        <v>124</v>
      </c>
      <c r="P255" s="8" t="s">
        <v>46</v>
      </c>
      <c r="Q255" s="8"/>
      <c r="R255" s="8" t="s">
        <v>47</v>
      </c>
      <c r="S255" s="8"/>
      <c r="T255" s="8" t="s">
        <v>48</v>
      </c>
      <c r="U255" s="8"/>
    </row>
    <row r="256" spans="1:21" ht="30" x14ac:dyDescent="0.25">
      <c r="A256" s="7">
        <v>827</v>
      </c>
      <c r="B256" s="8" t="s">
        <v>1089</v>
      </c>
      <c r="C256" s="8" t="s">
        <v>33</v>
      </c>
      <c r="D256" s="9">
        <v>39685</v>
      </c>
      <c r="E256" s="8" t="s">
        <v>11</v>
      </c>
      <c r="F256" s="8"/>
      <c r="G256" s="8" t="s">
        <v>48</v>
      </c>
      <c r="H256" s="8"/>
      <c r="I256" s="8" t="s">
        <v>1090</v>
      </c>
      <c r="J256" s="8"/>
      <c r="K256" s="8"/>
      <c r="L256" s="8"/>
      <c r="M256" s="8" t="s">
        <v>45</v>
      </c>
      <c r="N256" s="8" t="s">
        <v>47</v>
      </c>
      <c r="O256" s="8"/>
      <c r="P256" s="8" t="s">
        <v>45</v>
      </c>
      <c r="Q256" s="8" t="s">
        <v>42</v>
      </c>
      <c r="R256" s="8" t="s">
        <v>47</v>
      </c>
      <c r="S256" s="8" t="s">
        <v>1091</v>
      </c>
      <c r="T256" s="8" t="s">
        <v>48</v>
      </c>
      <c r="U256" s="8"/>
    </row>
    <row r="257" spans="1:21" ht="30" x14ac:dyDescent="0.25">
      <c r="A257" s="7">
        <v>828</v>
      </c>
      <c r="B257" s="8" t="s">
        <v>1092</v>
      </c>
      <c r="C257" s="8" t="s">
        <v>33</v>
      </c>
      <c r="D257" s="9">
        <v>39489</v>
      </c>
      <c r="E257" s="8" t="s">
        <v>11</v>
      </c>
      <c r="F257" s="8"/>
      <c r="G257" s="8" t="s">
        <v>48</v>
      </c>
      <c r="H257" s="8"/>
      <c r="I257" s="8" t="s">
        <v>1093</v>
      </c>
      <c r="J257" s="8"/>
      <c r="K257" s="8"/>
      <c r="L257" s="8"/>
      <c r="M257" s="8" t="s">
        <v>42</v>
      </c>
      <c r="N257" s="8" t="s">
        <v>1094</v>
      </c>
      <c r="O257" s="8" t="s">
        <v>124</v>
      </c>
      <c r="P257" s="8" t="s">
        <v>45</v>
      </c>
      <c r="Q257" s="8" t="s">
        <v>45</v>
      </c>
      <c r="R257" s="8" t="s">
        <v>47</v>
      </c>
      <c r="S257" s="8"/>
      <c r="T257" s="8" t="s">
        <v>48</v>
      </c>
      <c r="U257" s="8"/>
    </row>
    <row r="258" spans="1:21" ht="30" x14ac:dyDescent="0.25">
      <c r="A258" s="7">
        <v>829</v>
      </c>
      <c r="B258" s="8" t="s">
        <v>1095</v>
      </c>
      <c r="C258" s="8" t="s">
        <v>33</v>
      </c>
      <c r="D258" s="9">
        <v>40014</v>
      </c>
      <c r="E258" s="8" t="s">
        <v>11</v>
      </c>
      <c r="F258" s="8"/>
      <c r="G258" s="8" t="s">
        <v>48</v>
      </c>
      <c r="H258" s="8"/>
      <c r="I258" s="8" t="s">
        <v>1096</v>
      </c>
      <c r="J258" s="8"/>
      <c r="K258" s="8"/>
      <c r="L258" s="8"/>
      <c r="M258" s="8"/>
      <c r="N258" s="8" t="s">
        <v>1097</v>
      </c>
      <c r="O258" s="8"/>
      <c r="P258" s="8" t="s">
        <v>93</v>
      </c>
      <c r="Q258" s="8" t="s">
        <v>62</v>
      </c>
      <c r="R258" s="8" t="s">
        <v>47</v>
      </c>
      <c r="S258" s="8"/>
      <c r="T258" s="8" t="s">
        <v>48</v>
      </c>
      <c r="U258" s="8"/>
    </row>
    <row r="259" spans="1:21" x14ac:dyDescent="0.25">
      <c r="A259" s="7">
        <v>830</v>
      </c>
      <c r="B259" s="8" t="s">
        <v>1449</v>
      </c>
      <c r="C259" s="8" t="s">
        <v>33</v>
      </c>
      <c r="D259" s="9">
        <v>39949</v>
      </c>
      <c r="E259" s="8" t="s">
        <v>11</v>
      </c>
      <c r="F259" s="8"/>
      <c r="G259" s="8" t="s">
        <v>48</v>
      </c>
      <c r="H259" s="8"/>
      <c r="I259" s="8" t="s">
        <v>1098</v>
      </c>
      <c r="J259" s="8"/>
      <c r="K259" s="8"/>
      <c r="L259" s="8"/>
      <c r="M259" s="8" t="s">
        <v>358</v>
      </c>
      <c r="N259" s="8" t="s">
        <v>114</v>
      </c>
      <c r="O259" s="8"/>
      <c r="P259" s="8" t="s">
        <v>204</v>
      </c>
      <c r="Q259" s="8"/>
      <c r="R259" s="8" t="s">
        <v>47</v>
      </c>
      <c r="S259" s="8" t="s">
        <v>1099</v>
      </c>
      <c r="T259" s="8" t="s">
        <v>48</v>
      </c>
      <c r="U259" s="8"/>
    </row>
    <row r="260" spans="1:21" x14ac:dyDescent="0.25">
      <c r="A260" s="7">
        <v>831</v>
      </c>
      <c r="B260" s="8" t="s">
        <v>1450</v>
      </c>
      <c r="C260" s="8" t="s">
        <v>33</v>
      </c>
      <c r="D260" s="9">
        <v>39345</v>
      </c>
      <c r="E260" s="8" t="s">
        <v>11</v>
      </c>
      <c r="F260" s="8"/>
      <c r="G260" s="8" t="s">
        <v>48</v>
      </c>
      <c r="H260" s="8"/>
      <c r="I260" s="8" t="s">
        <v>1100</v>
      </c>
      <c r="J260" s="8"/>
      <c r="K260" s="8"/>
      <c r="L260" s="8"/>
      <c r="M260" s="8" t="s">
        <v>55</v>
      </c>
      <c r="N260" s="8" t="s">
        <v>1101</v>
      </c>
      <c r="O260" s="8" t="s">
        <v>1102</v>
      </c>
      <c r="P260" s="8"/>
      <c r="Q260" s="8"/>
      <c r="R260" s="8" t="s">
        <v>102</v>
      </c>
      <c r="S260" s="8"/>
      <c r="T260" s="8" t="s">
        <v>48</v>
      </c>
      <c r="U260" s="8"/>
    </row>
    <row r="261" spans="1:21" ht="30" x14ac:dyDescent="0.25">
      <c r="A261" s="7">
        <v>832</v>
      </c>
      <c r="B261" s="8" t="s">
        <v>1103</v>
      </c>
      <c r="C261" s="8" t="s">
        <v>33</v>
      </c>
      <c r="D261" s="9">
        <v>39714</v>
      </c>
      <c r="E261" s="8" t="s">
        <v>11</v>
      </c>
      <c r="F261" s="8"/>
      <c r="G261" s="8" t="s">
        <v>48</v>
      </c>
      <c r="H261" s="8"/>
      <c r="I261" s="8" t="s">
        <v>1047</v>
      </c>
      <c r="J261" s="8"/>
      <c r="K261" s="8"/>
      <c r="L261" s="8"/>
      <c r="M261" s="8" t="s">
        <v>1048</v>
      </c>
      <c r="N261" s="8" t="s">
        <v>506</v>
      </c>
      <c r="O261" s="8"/>
      <c r="P261" s="8"/>
      <c r="Q261" s="8"/>
      <c r="R261" s="8" t="s">
        <v>47</v>
      </c>
      <c r="S261" s="8"/>
      <c r="T261" s="8" t="s">
        <v>48</v>
      </c>
      <c r="U261" s="8"/>
    </row>
    <row r="262" spans="1:21" x14ac:dyDescent="0.25">
      <c r="A262" s="7">
        <v>833</v>
      </c>
      <c r="B262" s="8" t="s">
        <v>1104</v>
      </c>
      <c r="C262" s="8" t="s">
        <v>33</v>
      </c>
      <c r="D262" s="9">
        <v>39703</v>
      </c>
      <c r="E262" s="8" t="s">
        <v>11</v>
      </c>
      <c r="F262" s="8"/>
      <c r="G262" s="8" t="s">
        <v>48</v>
      </c>
      <c r="H262" s="8"/>
      <c r="I262" s="8" t="s">
        <v>1105</v>
      </c>
      <c r="J262" s="8"/>
      <c r="K262" s="8"/>
      <c r="L262" s="8"/>
      <c r="M262" s="8" t="s">
        <v>1106</v>
      </c>
      <c r="N262" s="8" t="s">
        <v>124</v>
      </c>
      <c r="O262" s="8"/>
      <c r="P262" s="8" t="s">
        <v>46</v>
      </c>
      <c r="Q262" s="8" t="s">
        <v>62</v>
      </c>
      <c r="R262" s="8" t="s">
        <v>47</v>
      </c>
      <c r="S262" s="8" t="s">
        <v>1020</v>
      </c>
      <c r="T262" s="8" t="s">
        <v>48</v>
      </c>
      <c r="U262" s="8"/>
    </row>
    <row r="263" spans="1:21" x14ac:dyDescent="0.25">
      <c r="A263" s="7">
        <v>834</v>
      </c>
      <c r="B263" s="8" t="s">
        <v>1107</v>
      </c>
      <c r="C263" s="8" t="s">
        <v>33</v>
      </c>
      <c r="D263" s="9">
        <v>39491</v>
      </c>
      <c r="E263" s="8" t="s">
        <v>11</v>
      </c>
      <c r="F263" s="8"/>
      <c r="G263" s="8" t="s">
        <v>48</v>
      </c>
      <c r="H263" s="8"/>
      <c r="I263" s="8" t="s">
        <v>788</v>
      </c>
      <c r="J263" s="8"/>
      <c r="K263" s="8"/>
      <c r="L263" s="8"/>
      <c r="M263" s="8" t="s">
        <v>62</v>
      </c>
      <c r="N263" s="8" t="s">
        <v>1108</v>
      </c>
      <c r="O263" s="8"/>
      <c r="P263" s="8" t="s">
        <v>93</v>
      </c>
      <c r="Q263" s="8" t="s">
        <v>72</v>
      </c>
      <c r="R263" s="8" t="s">
        <v>1060</v>
      </c>
      <c r="S263" s="8"/>
      <c r="T263" s="8" t="s">
        <v>48</v>
      </c>
      <c r="U263" s="8"/>
    </row>
    <row r="264" spans="1:21" x14ac:dyDescent="0.25">
      <c r="A264" s="7">
        <v>835</v>
      </c>
      <c r="B264" s="8" t="s">
        <v>1109</v>
      </c>
      <c r="C264" s="8" t="s">
        <v>33</v>
      </c>
      <c r="D264" s="9">
        <v>39625</v>
      </c>
      <c r="E264" s="8" t="s">
        <v>11</v>
      </c>
      <c r="F264" s="8" t="s">
        <v>639</v>
      </c>
      <c r="G264" s="8" t="s">
        <v>48</v>
      </c>
      <c r="H264" s="8"/>
      <c r="I264" s="8" t="s">
        <v>1110</v>
      </c>
      <c r="J264" s="8" t="s">
        <v>1111</v>
      </c>
      <c r="K264" s="8" t="s">
        <v>1112</v>
      </c>
      <c r="L264" s="8" t="s">
        <v>596</v>
      </c>
      <c r="M264" s="8" t="s">
        <v>180</v>
      </c>
      <c r="N264" s="8" t="s">
        <v>76</v>
      </c>
      <c r="O264" s="8"/>
      <c r="P264" s="8" t="s">
        <v>93</v>
      </c>
      <c r="Q264" s="8"/>
      <c r="R264" s="8" t="s">
        <v>47</v>
      </c>
      <c r="S264" s="8"/>
      <c r="T264" s="8" t="s">
        <v>48</v>
      </c>
      <c r="U264" s="8"/>
    </row>
    <row r="265" spans="1:21" x14ac:dyDescent="0.25">
      <c r="A265" s="7">
        <v>836</v>
      </c>
      <c r="B265" s="8" t="s">
        <v>1113</v>
      </c>
      <c r="C265" s="8" t="s">
        <v>33</v>
      </c>
      <c r="D265" s="9">
        <v>39824</v>
      </c>
      <c r="E265" s="8" t="s">
        <v>11</v>
      </c>
      <c r="F265" s="8" t="s">
        <v>1286</v>
      </c>
      <c r="G265" s="8" t="s">
        <v>48</v>
      </c>
      <c r="H265" s="8" t="s">
        <v>1114</v>
      </c>
      <c r="I265" s="8" t="s">
        <v>1114</v>
      </c>
      <c r="J265" s="8"/>
      <c r="K265" s="8"/>
      <c r="L265" s="8" t="s">
        <v>61</v>
      </c>
      <c r="M265" s="8" t="s">
        <v>1106</v>
      </c>
      <c r="N265" s="8" t="s">
        <v>124</v>
      </c>
      <c r="O265" s="8"/>
      <c r="P265" s="8" t="s">
        <v>62</v>
      </c>
      <c r="Q265" s="8" t="s">
        <v>72</v>
      </c>
      <c r="R265" s="8" t="s">
        <v>47</v>
      </c>
      <c r="S265" s="8" t="s">
        <v>1020</v>
      </c>
      <c r="T265" s="8" t="s">
        <v>48</v>
      </c>
      <c r="U265" s="8"/>
    </row>
    <row r="266" spans="1:21" x14ac:dyDescent="0.25">
      <c r="A266" s="7">
        <v>837</v>
      </c>
      <c r="B266" s="8" t="s">
        <v>1115</v>
      </c>
      <c r="C266" s="8" t="s">
        <v>33</v>
      </c>
      <c r="D266" s="9">
        <v>39658</v>
      </c>
      <c r="E266" s="8" t="s">
        <v>11</v>
      </c>
      <c r="F266" s="8"/>
      <c r="G266" s="8" t="s">
        <v>48</v>
      </c>
      <c r="H266" s="8"/>
      <c r="I266" s="8" t="s">
        <v>1116</v>
      </c>
      <c r="J266" s="8"/>
      <c r="K266" s="8"/>
      <c r="L266" s="8"/>
      <c r="M266" s="8" t="s">
        <v>278</v>
      </c>
      <c r="N266" s="8" t="s">
        <v>1117</v>
      </c>
      <c r="O266" s="8" t="s">
        <v>461</v>
      </c>
      <c r="P266" s="8"/>
      <c r="Q266" s="8"/>
      <c r="R266" s="8" t="s">
        <v>47</v>
      </c>
      <c r="S266" s="8" t="s">
        <v>1118</v>
      </c>
      <c r="T266" s="8" t="s">
        <v>48</v>
      </c>
      <c r="U266" s="8"/>
    </row>
    <row r="267" spans="1:21" x14ac:dyDescent="0.25">
      <c r="A267" s="7">
        <v>838</v>
      </c>
      <c r="B267" s="8" t="s">
        <v>1365</v>
      </c>
      <c r="C267" s="8" t="s">
        <v>33</v>
      </c>
      <c r="D267" s="9">
        <v>40065</v>
      </c>
      <c r="E267" s="8" t="s">
        <v>11</v>
      </c>
      <c r="F267" s="8" t="s">
        <v>354</v>
      </c>
      <c r="G267" s="8" t="s">
        <v>48</v>
      </c>
      <c r="H267" s="8"/>
      <c r="I267" s="8" t="s">
        <v>1119</v>
      </c>
      <c r="J267" s="8" t="s">
        <v>1120</v>
      </c>
      <c r="K267" s="8"/>
      <c r="L267" s="8" t="s">
        <v>61</v>
      </c>
      <c r="M267" s="8" t="s">
        <v>278</v>
      </c>
      <c r="N267" s="8" t="s">
        <v>359</v>
      </c>
      <c r="O267" s="8" t="s">
        <v>124</v>
      </c>
      <c r="P267" s="8" t="s">
        <v>72</v>
      </c>
      <c r="Q267" s="8" t="s">
        <v>72</v>
      </c>
      <c r="R267" s="8" t="s">
        <v>47</v>
      </c>
      <c r="S267" s="8"/>
      <c r="T267" s="8" t="s">
        <v>48</v>
      </c>
      <c r="U267" s="8"/>
    </row>
    <row r="268" spans="1:21" x14ac:dyDescent="0.25">
      <c r="A268" s="7">
        <v>839</v>
      </c>
      <c r="B268" s="8" t="s">
        <v>1121</v>
      </c>
      <c r="C268" s="8" t="s">
        <v>33</v>
      </c>
      <c r="D268" s="9">
        <v>39739</v>
      </c>
      <c r="E268" s="8" t="s">
        <v>11</v>
      </c>
      <c r="F268" s="8" t="s">
        <v>86</v>
      </c>
      <c r="G268" s="8" t="s">
        <v>48</v>
      </c>
      <c r="H268" s="8"/>
      <c r="I268" s="8" t="s">
        <v>1122</v>
      </c>
      <c r="J268" s="8"/>
      <c r="K268" s="8"/>
      <c r="L268" s="8" t="s">
        <v>61</v>
      </c>
      <c r="M268" s="8" t="s">
        <v>72</v>
      </c>
      <c r="N268" s="8" t="s">
        <v>242</v>
      </c>
      <c r="O268" s="8" t="s">
        <v>124</v>
      </c>
      <c r="P268" s="8" t="s">
        <v>65</v>
      </c>
      <c r="Q268" s="8" t="s">
        <v>91</v>
      </c>
      <c r="R268" s="8" t="s">
        <v>47</v>
      </c>
      <c r="S268" s="8" t="s">
        <v>438</v>
      </c>
      <c r="T268" s="8" t="s">
        <v>48</v>
      </c>
      <c r="U268" s="8"/>
    </row>
    <row r="269" spans="1:21" x14ac:dyDescent="0.25">
      <c r="A269" s="7">
        <v>840</v>
      </c>
      <c r="B269" s="8" t="s">
        <v>1123</v>
      </c>
      <c r="C269" s="8" t="s">
        <v>33</v>
      </c>
      <c r="D269" s="9">
        <v>39844</v>
      </c>
      <c r="E269" s="8" t="s">
        <v>11</v>
      </c>
      <c r="F269" s="8" t="s">
        <v>1124</v>
      </c>
      <c r="G269" s="8" t="s">
        <v>48</v>
      </c>
      <c r="H269" s="8"/>
      <c r="I269" s="8" t="s">
        <v>1125</v>
      </c>
      <c r="J269" s="8" t="s">
        <v>1126</v>
      </c>
      <c r="K269" s="8" t="s">
        <v>1127</v>
      </c>
      <c r="L269" s="8" t="s">
        <v>596</v>
      </c>
      <c r="M269" s="8" t="s">
        <v>1128</v>
      </c>
      <c r="N269" s="8" t="s">
        <v>124</v>
      </c>
      <c r="O269" s="8"/>
      <c r="P269" s="8" t="s">
        <v>42</v>
      </c>
      <c r="Q269" s="8" t="s">
        <v>552</v>
      </c>
      <c r="R269" s="8" t="s">
        <v>47</v>
      </c>
      <c r="S269" s="8" t="s">
        <v>1129</v>
      </c>
      <c r="T269" s="8" t="s">
        <v>48</v>
      </c>
      <c r="U269" s="8"/>
    </row>
    <row r="270" spans="1:21" x14ac:dyDescent="0.25">
      <c r="A270" s="7">
        <v>841</v>
      </c>
      <c r="B270" s="8" t="s">
        <v>1130</v>
      </c>
      <c r="C270" s="8" t="s">
        <v>33</v>
      </c>
      <c r="D270" s="9">
        <v>40170</v>
      </c>
      <c r="E270" s="8" t="s">
        <v>11</v>
      </c>
      <c r="F270" s="8"/>
      <c r="G270" s="8" t="s">
        <v>48</v>
      </c>
      <c r="H270" s="8"/>
      <c r="I270" s="8" t="s">
        <v>1131</v>
      </c>
      <c r="J270" s="8"/>
      <c r="K270" s="8"/>
      <c r="L270" s="8"/>
      <c r="M270" s="8" t="s">
        <v>62</v>
      </c>
      <c r="N270" s="8" t="s">
        <v>171</v>
      </c>
      <c r="O270" s="8"/>
      <c r="P270" s="8"/>
      <c r="Q270" s="8"/>
      <c r="R270" s="8" t="s">
        <v>47</v>
      </c>
      <c r="S270" s="8" t="s">
        <v>1132</v>
      </c>
      <c r="T270" s="8" t="s">
        <v>48</v>
      </c>
      <c r="U270" s="8"/>
    </row>
    <row r="271" spans="1:21" x14ac:dyDescent="0.25">
      <c r="A271" s="7">
        <v>842</v>
      </c>
      <c r="B271" s="8" t="s">
        <v>1133</v>
      </c>
      <c r="C271" s="8" t="s">
        <v>33</v>
      </c>
      <c r="D271" s="9">
        <v>39710</v>
      </c>
      <c r="E271" s="8" t="s">
        <v>11</v>
      </c>
      <c r="F271" s="8"/>
      <c r="G271" s="8" t="s">
        <v>48</v>
      </c>
      <c r="H271" s="8"/>
      <c r="I271" s="8" t="s">
        <v>1134</v>
      </c>
      <c r="J271" s="8"/>
      <c r="K271" s="8"/>
      <c r="L271" s="8"/>
      <c r="M271" s="8" t="s">
        <v>251</v>
      </c>
      <c r="N271" s="8" t="s">
        <v>1135</v>
      </c>
      <c r="O271" s="8"/>
      <c r="P271" s="8" t="s">
        <v>125</v>
      </c>
      <c r="Q271" s="8"/>
      <c r="R271" s="8" t="s">
        <v>47</v>
      </c>
      <c r="S271" s="8"/>
      <c r="T271" s="8" t="s">
        <v>48</v>
      </c>
      <c r="U271" s="8"/>
    </row>
    <row r="272" spans="1:21" x14ac:dyDescent="0.25">
      <c r="A272" s="7">
        <v>843</v>
      </c>
      <c r="B272" s="8" t="s">
        <v>1451</v>
      </c>
      <c r="C272" s="8" t="s">
        <v>33</v>
      </c>
      <c r="D272" s="9">
        <v>0</v>
      </c>
      <c r="E272" s="8" t="s">
        <v>11</v>
      </c>
      <c r="F272" s="8"/>
      <c r="G272" s="8" t="s">
        <v>48</v>
      </c>
      <c r="H272" s="8"/>
      <c r="I272" s="8" t="s">
        <v>1136</v>
      </c>
      <c r="J272" s="8"/>
      <c r="K272" s="8"/>
      <c r="L272" s="8"/>
      <c r="M272" s="8" t="s">
        <v>1137</v>
      </c>
      <c r="N272" s="8" t="s">
        <v>124</v>
      </c>
      <c r="O272" s="8"/>
      <c r="P272" s="8" t="s">
        <v>45</v>
      </c>
      <c r="Q272" s="8" t="s">
        <v>42</v>
      </c>
      <c r="R272" s="8" t="s">
        <v>47</v>
      </c>
      <c r="S272" s="8" t="s">
        <v>1138</v>
      </c>
      <c r="T272" s="8" t="s">
        <v>48</v>
      </c>
      <c r="U272" s="8"/>
    </row>
    <row r="273" spans="1:21" x14ac:dyDescent="0.25">
      <c r="A273" s="7">
        <v>844</v>
      </c>
      <c r="B273" s="8" t="s">
        <v>1139</v>
      </c>
      <c r="C273" s="8" t="s">
        <v>33</v>
      </c>
      <c r="D273" s="9">
        <v>44008</v>
      </c>
      <c r="E273" s="8" t="s">
        <v>11</v>
      </c>
      <c r="F273" s="8"/>
      <c r="G273" s="8" t="s">
        <v>48</v>
      </c>
      <c r="H273" s="8"/>
      <c r="I273" s="8" t="s">
        <v>1140</v>
      </c>
      <c r="J273" s="8"/>
      <c r="K273" s="8"/>
      <c r="L273" s="8"/>
      <c r="M273" s="8"/>
      <c r="N273" s="8" t="s">
        <v>1141</v>
      </c>
      <c r="O273" s="8"/>
      <c r="P273" s="8"/>
      <c r="Q273" s="8" t="s">
        <v>1142</v>
      </c>
      <c r="R273" s="8" t="s">
        <v>47</v>
      </c>
      <c r="S273" s="8"/>
      <c r="T273" s="8" t="s">
        <v>48</v>
      </c>
      <c r="U273" s="8"/>
    </row>
    <row r="274" spans="1:21" x14ac:dyDescent="0.25">
      <c r="A274" s="7">
        <v>845</v>
      </c>
      <c r="B274" s="8" t="s">
        <v>1452</v>
      </c>
      <c r="C274" s="8" t="s">
        <v>33</v>
      </c>
      <c r="D274" s="9">
        <v>40060</v>
      </c>
      <c r="E274" s="8" t="s">
        <v>11</v>
      </c>
      <c r="F274" s="8"/>
      <c r="G274" s="8" t="s">
        <v>48</v>
      </c>
      <c r="H274" s="8"/>
      <c r="I274" s="8" t="s">
        <v>1088</v>
      </c>
      <c r="J274" s="8"/>
      <c r="K274" s="8"/>
      <c r="L274" s="8"/>
      <c r="M274" s="8" t="s">
        <v>277</v>
      </c>
      <c r="N274" s="8" t="s">
        <v>242</v>
      </c>
      <c r="O274" s="8" t="s">
        <v>124</v>
      </c>
      <c r="P274" s="8" t="s">
        <v>46</v>
      </c>
      <c r="Q274" s="8"/>
      <c r="R274" s="8" t="s">
        <v>47</v>
      </c>
      <c r="S274" s="8"/>
      <c r="T274" s="8" t="s">
        <v>48</v>
      </c>
      <c r="U274" s="8"/>
    </row>
    <row r="275" spans="1:21" x14ac:dyDescent="0.25">
      <c r="A275" s="7">
        <v>846</v>
      </c>
      <c r="B275" s="8" t="s">
        <v>1143</v>
      </c>
      <c r="C275" s="8" t="s">
        <v>33</v>
      </c>
      <c r="D275" s="9">
        <v>39668</v>
      </c>
      <c r="E275" s="8" t="s">
        <v>11</v>
      </c>
      <c r="F275" s="8" t="s">
        <v>1144</v>
      </c>
      <c r="G275" s="8" t="s">
        <v>48</v>
      </c>
      <c r="H275" s="8"/>
      <c r="I275" s="8" t="s">
        <v>1145</v>
      </c>
      <c r="J275" s="8" t="s">
        <v>1146</v>
      </c>
      <c r="K275" s="8" t="s">
        <v>1147</v>
      </c>
      <c r="L275" s="8" t="s">
        <v>61</v>
      </c>
      <c r="M275" s="8" t="s">
        <v>55</v>
      </c>
      <c r="N275" s="8" t="s">
        <v>545</v>
      </c>
      <c r="O275" s="8" t="s">
        <v>124</v>
      </c>
      <c r="P275" s="8" t="s">
        <v>45</v>
      </c>
      <c r="Q275" s="8" t="s">
        <v>278</v>
      </c>
      <c r="R275" s="8" t="s">
        <v>47</v>
      </c>
      <c r="S275" s="8" t="s">
        <v>546</v>
      </c>
      <c r="T275" s="8" t="s">
        <v>48</v>
      </c>
      <c r="U275" s="8"/>
    </row>
    <row r="276" spans="1:21" x14ac:dyDescent="0.25">
      <c r="A276" s="7">
        <v>847</v>
      </c>
      <c r="B276" s="8" t="s">
        <v>1148</v>
      </c>
      <c r="C276" s="8" t="s">
        <v>33</v>
      </c>
      <c r="D276" s="9">
        <v>39825</v>
      </c>
      <c r="E276" s="8" t="s">
        <v>11</v>
      </c>
      <c r="F276" s="8" t="s">
        <v>58</v>
      </c>
      <c r="G276" s="8" t="s">
        <v>48</v>
      </c>
      <c r="H276" s="8"/>
      <c r="I276" s="8" t="s">
        <v>1149</v>
      </c>
      <c r="J276" s="8" t="s">
        <v>1150</v>
      </c>
      <c r="K276" s="8" t="s">
        <v>1151</v>
      </c>
      <c r="L276" s="8" t="s">
        <v>41</v>
      </c>
      <c r="M276" s="8" t="s">
        <v>81</v>
      </c>
      <c r="N276" s="8" t="s">
        <v>242</v>
      </c>
      <c r="O276" s="8"/>
      <c r="P276" s="8" t="s">
        <v>45</v>
      </c>
      <c r="Q276" s="8" t="s">
        <v>46</v>
      </c>
      <c r="R276" s="8" t="s">
        <v>47</v>
      </c>
      <c r="S276" s="8" t="s">
        <v>1152</v>
      </c>
      <c r="T276" s="8" t="s">
        <v>48</v>
      </c>
      <c r="U276" s="8"/>
    </row>
    <row r="277" spans="1:21" x14ac:dyDescent="0.25">
      <c r="A277" s="7">
        <v>848</v>
      </c>
      <c r="B277" s="8" t="s">
        <v>1153</v>
      </c>
      <c r="C277" s="8" t="s">
        <v>33</v>
      </c>
      <c r="D277" s="9">
        <v>39962</v>
      </c>
      <c r="E277" s="8" t="s">
        <v>11</v>
      </c>
      <c r="F277" s="8" t="s">
        <v>392</v>
      </c>
      <c r="G277" s="8" t="s">
        <v>48</v>
      </c>
      <c r="H277" s="8"/>
      <c r="I277" s="8" t="s">
        <v>1154</v>
      </c>
      <c r="J277" s="8" t="s">
        <v>1155</v>
      </c>
      <c r="K277" s="8" t="s">
        <v>1156</v>
      </c>
      <c r="L277" s="8"/>
      <c r="M277" s="8" t="s">
        <v>83</v>
      </c>
      <c r="N277" s="8" t="s">
        <v>114</v>
      </c>
      <c r="O277" s="8"/>
      <c r="P277" s="8" t="s">
        <v>62</v>
      </c>
      <c r="Q277" s="8" t="s">
        <v>62</v>
      </c>
      <c r="R277" s="8" t="s">
        <v>47</v>
      </c>
      <c r="S277" s="8" t="s">
        <v>1157</v>
      </c>
      <c r="T277" s="8" t="s">
        <v>48</v>
      </c>
      <c r="U277" s="8"/>
    </row>
    <row r="278" spans="1:21" x14ac:dyDescent="0.25">
      <c r="A278" s="7">
        <v>849</v>
      </c>
      <c r="B278" s="8" t="s">
        <v>1158</v>
      </c>
      <c r="C278" s="8" t="s">
        <v>33</v>
      </c>
      <c r="D278" s="9">
        <v>39929</v>
      </c>
      <c r="E278" s="8" t="s">
        <v>11</v>
      </c>
      <c r="F278" s="8" t="s">
        <v>392</v>
      </c>
      <c r="G278" s="8" t="s">
        <v>48</v>
      </c>
      <c r="H278" s="8"/>
      <c r="I278" s="8" t="s">
        <v>1159</v>
      </c>
      <c r="J278" s="8" t="s">
        <v>1160</v>
      </c>
      <c r="K278" s="8" t="s">
        <v>1161</v>
      </c>
      <c r="L278" s="8" t="s">
        <v>567</v>
      </c>
      <c r="M278" s="8" t="s">
        <v>278</v>
      </c>
      <c r="N278" s="8" t="s">
        <v>144</v>
      </c>
      <c r="O278" s="8" t="s">
        <v>124</v>
      </c>
      <c r="P278" s="8" t="s">
        <v>72</v>
      </c>
      <c r="Q278" s="8" t="s">
        <v>51</v>
      </c>
      <c r="R278" s="8" t="s">
        <v>47</v>
      </c>
      <c r="S278" s="8" t="s">
        <v>1162</v>
      </c>
      <c r="T278" s="8" t="s">
        <v>48</v>
      </c>
      <c r="U278" s="8" t="s">
        <v>1163</v>
      </c>
    </row>
    <row r="279" spans="1:21" x14ac:dyDescent="0.25">
      <c r="A279" s="7">
        <v>850</v>
      </c>
      <c r="B279" s="8" t="s">
        <v>1164</v>
      </c>
      <c r="C279" s="8" t="s">
        <v>33</v>
      </c>
      <c r="D279" s="9">
        <v>40068</v>
      </c>
      <c r="E279" s="8" t="s">
        <v>11</v>
      </c>
      <c r="F279" s="8" t="s">
        <v>392</v>
      </c>
      <c r="G279" s="8" t="s">
        <v>48</v>
      </c>
      <c r="H279" s="8"/>
      <c r="I279" s="8" t="s">
        <v>1165</v>
      </c>
      <c r="J279" s="8"/>
      <c r="K279" s="8" t="s">
        <v>1166</v>
      </c>
      <c r="L279" s="8" t="s">
        <v>1167</v>
      </c>
      <c r="M279" s="8" t="s">
        <v>340</v>
      </c>
      <c r="N279" s="8" t="s">
        <v>110</v>
      </c>
      <c r="O279" s="8"/>
      <c r="P279" s="8" t="s">
        <v>72</v>
      </c>
      <c r="Q279" s="8" t="s">
        <v>239</v>
      </c>
      <c r="R279" s="8" t="s">
        <v>47</v>
      </c>
      <c r="S279" s="8" t="s">
        <v>1168</v>
      </c>
      <c r="T279" s="8" t="s">
        <v>48</v>
      </c>
      <c r="U279" s="8"/>
    </row>
    <row r="280" spans="1:21" x14ac:dyDescent="0.25">
      <c r="A280" s="7">
        <v>851</v>
      </c>
      <c r="B280" s="8" t="s">
        <v>1169</v>
      </c>
      <c r="C280" s="8" t="s">
        <v>33</v>
      </c>
      <c r="D280" s="9">
        <v>40031</v>
      </c>
      <c r="E280" s="8" t="s">
        <v>11</v>
      </c>
      <c r="F280" s="8"/>
      <c r="G280" s="8" t="s">
        <v>48</v>
      </c>
      <c r="H280" s="8"/>
      <c r="I280" s="8" t="s">
        <v>1170</v>
      </c>
      <c r="J280" s="8"/>
      <c r="K280" s="8"/>
      <c r="L280" s="8"/>
      <c r="M280" s="8" t="s">
        <v>1171</v>
      </c>
      <c r="N280" s="8" t="s">
        <v>124</v>
      </c>
      <c r="O280" s="8"/>
      <c r="P280" s="8" t="s">
        <v>93</v>
      </c>
      <c r="Q280" s="8" t="s">
        <v>65</v>
      </c>
      <c r="R280" s="8" t="s">
        <v>47</v>
      </c>
      <c r="S280" s="8" t="s">
        <v>1172</v>
      </c>
      <c r="T280" s="8" t="s">
        <v>48</v>
      </c>
      <c r="U280" s="8" t="s">
        <v>1173</v>
      </c>
    </row>
    <row r="281" spans="1:21" x14ac:dyDescent="0.25">
      <c r="A281" s="7">
        <v>852</v>
      </c>
      <c r="B281" s="8" t="s">
        <v>1174</v>
      </c>
      <c r="C281" s="8" t="s">
        <v>33</v>
      </c>
      <c r="D281" s="9">
        <v>39102</v>
      </c>
      <c r="E281" s="8" t="s">
        <v>11</v>
      </c>
      <c r="F281" s="8"/>
      <c r="G281" s="8" t="s">
        <v>48</v>
      </c>
      <c r="H281" s="8"/>
      <c r="I281" s="8" t="s">
        <v>1047</v>
      </c>
      <c r="J281" s="8"/>
      <c r="K281" s="8"/>
      <c r="L281" s="8"/>
      <c r="M281" s="8" t="s">
        <v>1048</v>
      </c>
      <c r="N281" s="8" t="s">
        <v>506</v>
      </c>
      <c r="O281" s="8"/>
      <c r="P281" s="8"/>
      <c r="Q281" s="8"/>
      <c r="R281" s="8" t="s">
        <v>47</v>
      </c>
      <c r="S281" s="8"/>
      <c r="T281" s="8" t="s">
        <v>48</v>
      </c>
      <c r="U281" s="8"/>
    </row>
    <row r="282" spans="1:21" x14ac:dyDescent="0.25">
      <c r="A282" s="7">
        <v>853</v>
      </c>
      <c r="B282" s="8" t="s">
        <v>1175</v>
      </c>
      <c r="C282" s="8" t="s">
        <v>33</v>
      </c>
      <c r="D282" s="9">
        <v>39516</v>
      </c>
      <c r="E282" s="8" t="s">
        <v>11</v>
      </c>
      <c r="F282" s="8"/>
      <c r="G282" s="8" t="s">
        <v>48</v>
      </c>
      <c r="H282" s="8"/>
      <c r="I282" s="8" t="s">
        <v>1176</v>
      </c>
      <c r="J282" s="8"/>
      <c r="K282" s="8"/>
      <c r="L282" s="8"/>
      <c r="M282" s="8" t="s">
        <v>358</v>
      </c>
      <c r="N282" s="8" t="s">
        <v>44</v>
      </c>
      <c r="O282" s="8"/>
      <c r="P282" s="8" t="s">
        <v>46</v>
      </c>
      <c r="Q282" s="8" t="s">
        <v>1177</v>
      </c>
      <c r="R282" s="8" t="s">
        <v>47</v>
      </c>
      <c r="S282" s="8"/>
      <c r="T282" s="8" t="s">
        <v>48</v>
      </c>
      <c r="U282" s="8"/>
    </row>
    <row r="283" spans="1:21" x14ac:dyDescent="0.25">
      <c r="A283" s="7">
        <v>854</v>
      </c>
      <c r="B283" s="8" t="s">
        <v>1178</v>
      </c>
      <c r="C283" s="8" t="s">
        <v>33</v>
      </c>
      <c r="D283" s="9">
        <v>39590</v>
      </c>
      <c r="E283" s="8" t="s">
        <v>11</v>
      </c>
      <c r="F283" s="8"/>
      <c r="G283" s="8" t="s">
        <v>48</v>
      </c>
      <c r="H283" s="8"/>
      <c r="I283" s="8" t="s">
        <v>1179</v>
      </c>
      <c r="J283" s="8"/>
      <c r="K283" s="8"/>
      <c r="L283" s="8"/>
      <c r="M283" s="8" t="s">
        <v>42</v>
      </c>
      <c r="N283" s="8" t="s">
        <v>1180</v>
      </c>
      <c r="O283" s="8" t="s">
        <v>124</v>
      </c>
      <c r="P283" s="8" t="s">
        <v>62</v>
      </c>
      <c r="Q283" s="8" t="s">
        <v>55</v>
      </c>
      <c r="R283" s="8" t="s">
        <v>47</v>
      </c>
      <c r="S283" s="8" t="s">
        <v>534</v>
      </c>
      <c r="T283" s="8" t="s">
        <v>48</v>
      </c>
      <c r="U283" s="8"/>
    </row>
    <row r="284" spans="1:21" x14ac:dyDescent="0.25">
      <c r="A284" s="7">
        <v>855</v>
      </c>
      <c r="B284" s="8" t="s">
        <v>1181</v>
      </c>
      <c r="C284" s="8" t="s">
        <v>33</v>
      </c>
      <c r="D284" s="9">
        <v>39655</v>
      </c>
      <c r="E284" s="8" t="s">
        <v>11</v>
      </c>
      <c r="F284" s="8" t="s">
        <v>1366</v>
      </c>
      <c r="G284" s="8" t="s">
        <v>48</v>
      </c>
      <c r="H284" s="8"/>
      <c r="I284" s="8" t="s">
        <v>1367</v>
      </c>
      <c r="J284" s="8" t="s">
        <v>1368</v>
      </c>
      <c r="K284" s="8" t="s">
        <v>1369</v>
      </c>
      <c r="L284" s="8" t="s">
        <v>190</v>
      </c>
      <c r="M284" s="8" t="s">
        <v>288</v>
      </c>
      <c r="N284" s="8" t="s">
        <v>242</v>
      </c>
      <c r="O284" s="8"/>
      <c r="P284" s="8" t="s">
        <v>278</v>
      </c>
      <c r="Q284" s="8" t="s">
        <v>221</v>
      </c>
      <c r="R284" s="8" t="s">
        <v>47</v>
      </c>
      <c r="S284" s="8" t="s">
        <v>1182</v>
      </c>
      <c r="T284" s="8" t="s">
        <v>48</v>
      </c>
      <c r="U284" s="8" t="s">
        <v>1183</v>
      </c>
    </row>
    <row r="285" spans="1:21" x14ac:dyDescent="0.25">
      <c r="A285" s="7">
        <v>856</v>
      </c>
      <c r="B285" s="8" t="s">
        <v>1184</v>
      </c>
      <c r="C285" s="8" t="s">
        <v>33</v>
      </c>
      <c r="D285" s="9">
        <v>39620</v>
      </c>
      <c r="E285" s="8" t="s">
        <v>11</v>
      </c>
      <c r="F285" s="8" t="s">
        <v>35</v>
      </c>
      <c r="G285" s="8" t="s">
        <v>36</v>
      </c>
      <c r="H285" s="8"/>
      <c r="I285" s="8" t="s">
        <v>1185</v>
      </c>
      <c r="J285" s="8" t="s">
        <v>39</v>
      </c>
      <c r="K285" s="8" t="s">
        <v>40</v>
      </c>
      <c r="L285" s="8" t="s">
        <v>41</v>
      </c>
      <c r="M285" s="8" t="s">
        <v>42</v>
      </c>
      <c r="N285" s="8" t="s">
        <v>43</v>
      </c>
      <c r="O285" s="8" t="s">
        <v>44</v>
      </c>
      <c r="P285" s="8" t="s">
        <v>45</v>
      </c>
      <c r="Q285" s="8" t="s">
        <v>46</v>
      </c>
      <c r="R285" s="8" t="s">
        <v>47</v>
      </c>
      <c r="S285" s="8" t="s">
        <v>415</v>
      </c>
      <c r="T285" s="8" t="s">
        <v>48</v>
      </c>
      <c r="U285" s="8"/>
    </row>
    <row r="286" spans="1:21" x14ac:dyDescent="0.25">
      <c r="A286" s="7">
        <v>857</v>
      </c>
      <c r="B286" s="8" t="s">
        <v>1186</v>
      </c>
      <c r="C286" s="8" t="s">
        <v>33</v>
      </c>
      <c r="D286" s="9">
        <v>39412</v>
      </c>
      <c r="E286" s="8" t="s">
        <v>11</v>
      </c>
      <c r="F286" s="8"/>
      <c r="G286" s="8" t="s">
        <v>48</v>
      </c>
      <c r="H286" s="8"/>
      <c r="I286" s="8" t="s">
        <v>1047</v>
      </c>
      <c r="J286" s="8"/>
      <c r="K286" s="8"/>
      <c r="L286" s="8"/>
      <c r="M286" s="8" t="s">
        <v>1048</v>
      </c>
      <c r="N286" s="8" t="s">
        <v>506</v>
      </c>
      <c r="O286" s="8"/>
      <c r="P286" s="8"/>
      <c r="Q286" s="8"/>
      <c r="R286" s="8" t="s">
        <v>47</v>
      </c>
      <c r="S286" s="8"/>
      <c r="T286" s="8" t="s">
        <v>48</v>
      </c>
      <c r="U286" s="8"/>
    </row>
    <row r="287" spans="1:21" x14ac:dyDescent="0.25">
      <c r="A287" s="7">
        <v>858</v>
      </c>
      <c r="B287" s="8" t="s">
        <v>1187</v>
      </c>
      <c r="C287" s="8" t="s">
        <v>33</v>
      </c>
      <c r="D287" s="9">
        <v>40046</v>
      </c>
      <c r="E287" s="8" t="s">
        <v>11</v>
      </c>
      <c r="F287" s="8"/>
      <c r="G287" s="8" t="s">
        <v>48</v>
      </c>
      <c r="H287" s="8"/>
      <c r="I287" s="8" t="s">
        <v>1047</v>
      </c>
      <c r="J287" s="8"/>
      <c r="K287" s="8"/>
      <c r="L287" s="8"/>
      <c r="M287" s="8" t="s">
        <v>1048</v>
      </c>
      <c r="N287" s="8" t="s">
        <v>506</v>
      </c>
      <c r="O287" s="8"/>
      <c r="P287" s="8"/>
      <c r="Q287" s="8"/>
      <c r="R287" s="8" t="s">
        <v>47</v>
      </c>
      <c r="S287" s="8"/>
      <c r="T287" s="8" t="s">
        <v>48</v>
      </c>
      <c r="U287" s="8"/>
    </row>
    <row r="288" spans="1:21" x14ac:dyDescent="0.25">
      <c r="A288" s="7">
        <v>859</v>
      </c>
      <c r="B288" s="8" t="s">
        <v>1370</v>
      </c>
      <c r="C288" s="8" t="s">
        <v>33</v>
      </c>
      <c r="D288" s="9">
        <v>39779</v>
      </c>
      <c r="E288" s="8" t="s">
        <v>11</v>
      </c>
      <c r="F288" s="8" t="s">
        <v>58</v>
      </c>
      <c r="G288" s="8" t="s">
        <v>48</v>
      </c>
      <c r="H288" s="8"/>
      <c r="I288" s="8" t="s">
        <v>1371</v>
      </c>
      <c r="J288" s="8" t="s">
        <v>1372</v>
      </c>
      <c r="K288" s="8" t="s">
        <v>1373</v>
      </c>
      <c r="L288" s="8" t="s">
        <v>41</v>
      </c>
      <c r="M288" s="8" t="s">
        <v>42</v>
      </c>
      <c r="N288" s="8" t="s">
        <v>831</v>
      </c>
      <c r="O288" s="8" t="s">
        <v>124</v>
      </c>
      <c r="P288" s="8" t="s">
        <v>46</v>
      </c>
      <c r="Q288" s="8" t="s">
        <v>93</v>
      </c>
      <c r="R288" s="8" t="s">
        <v>47</v>
      </c>
      <c r="S288" s="8" t="s">
        <v>1374</v>
      </c>
      <c r="T288" s="8" t="s">
        <v>48</v>
      </c>
      <c r="U288" s="8"/>
    </row>
    <row r="289" spans="1:21" x14ac:dyDescent="0.25">
      <c r="A289" s="7">
        <v>860</v>
      </c>
      <c r="B289" s="8" t="s">
        <v>1188</v>
      </c>
      <c r="C289" s="8" t="s">
        <v>33</v>
      </c>
      <c r="D289" s="9">
        <v>39862</v>
      </c>
      <c r="E289" s="8" t="s">
        <v>11</v>
      </c>
      <c r="F289" s="8"/>
      <c r="G289" s="8" t="s">
        <v>48</v>
      </c>
      <c r="H289" s="8"/>
      <c r="I289" s="8" t="s">
        <v>1189</v>
      </c>
      <c r="J289" s="8"/>
      <c r="K289" s="8"/>
      <c r="L289" s="8"/>
      <c r="M289" s="8" t="s">
        <v>1190</v>
      </c>
      <c r="N289" s="8" t="s">
        <v>336</v>
      </c>
      <c r="O289" s="8"/>
      <c r="P289" s="8"/>
      <c r="Q289" s="8"/>
      <c r="R289" s="8" t="s">
        <v>47</v>
      </c>
      <c r="S289" s="8" t="s">
        <v>1191</v>
      </c>
      <c r="T289" s="8" t="s">
        <v>48</v>
      </c>
      <c r="U289" s="8"/>
    </row>
    <row r="290" spans="1:21" x14ac:dyDescent="0.25">
      <c r="A290" s="7">
        <v>861</v>
      </c>
      <c r="B290" s="8" t="s">
        <v>1192</v>
      </c>
      <c r="C290" s="8" t="s">
        <v>33</v>
      </c>
      <c r="D290" s="9">
        <v>39767</v>
      </c>
      <c r="E290" s="8" t="s">
        <v>11</v>
      </c>
      <c r="F290" s="8"/>
      <c r="G290" s="8" t="s">
        <v>48</v>
      </c>
      <c r="H290" s="8"/>
      <c r="I290" s="8" t="s">
        <v>1193</v>
      </c>
      <c r="J290" s="8"/>
      <c r="K290" s="8"/>
      <c r="L290" s="8"/>
      <c r="M290" s="8" t="s">
        <v>147</v>
      </c>
      <c r="N290" s="8" t="s">
        <v>1194</v>
      </c>
      <c r="O290" s="8" t="s">
        <v>124</v>
      </c>
      <c r="P290" s="8"/>
      <c r="Q290" s="8"/>
      <c r="R290" s="8" t="s">
        <v>47</v>
      </c>
      <c r="S290" s="8" t="s">
        <v>1195</v>
      </c>
      <c r="T290" s="8" t="s">
        <v>48</v>
      </c>
      <c r="U290" s="8"/>
    </row>
    <row r="291" spans="1:21" x14ac:dyDescent="0.25">
      <c r="A291" s="7">
        <v>862</v>
      </c>
      <c r="B291" s="8" t="s">
        <v>1196</v>
      </c>
      <c r="C291" s="8" t="s">
        <v>33</v>
      </c>
      <c r="D291" s="9">
        <v>39441</v>
      </c>
      <c r="E291" s="8" t="s">
        <v>11</v>
      </c>
      <c r="F291" s="8" t="s">
        <v>392</v>
      </c>
      <c r="G291" s="8" t="s">
        <v>48</v>
      </c>
      <c r="H291" s="8"/>
      <c r="I291" s="8" t="s">
        <v>1197</v>
      </c>
      <c r="J291" s="8" t="s">
        <v>1198</v>
      </c>
      <c r="K291" s="8" t="s">
        <v>1199</v>
      </c>
      <c r="L291" s="8"/>
      <c r="M291" s="8" t="s">
        <v>83</v>
      </c>
      <c r="N291" s="8" t="s">
        <v>378</v>
      </c>
      <c r="O291" s="8"/>
      <c r="P291" s="8" t="s">
        <v>62</v>
      </c>
      <c r="Q291" s="8" t="s">
        <v>42</v>
      </c>
      <c r="R291" s="8" t="s">
        <v>47</v>
      </c>
      <c r="S291" s="8"/>
      <c r="T291" s="8" t="s">
        <v>48</v>
      </c>
      <c r="U291" s="8"/>
    </row>
    <row r="292" spans="1:21" x14ac:dyDescent="0.25">
      <c r="A292" s="7">
        <v>863</v>
      </c>
      <c r="B292" s="8" t="s">
        <v>1200</v>
      </c>
      <c r="C292" s="8" t="s">
        <v>33</v>
      </c>
      <c r="D292" s="9">
        <v>40150</v>
      </c>
      <c r="E292" s="8" t="s">
        <v>11</v>
      </c>
      <c r="F292" s="8"/>
      <c r="G292" s="8" t="s">
        <v>48</v>
      </c>
      <c r="H292" s="8"/>
      <c r="I292" s="8" t="s">
        <v>1201</v>
      </c>
      <c r="J292" s="8"/>
      <c r="K292" s="8"/>
      <c r="L292" s="8"/>
      <c r="M292" s="8" t="s">
        <v>81</v>
      </c>
      <c r="N292" s="8" t="s">
        <v>82</v>
      </c>
      <c r="O292" s="8"/>
      <c r="P292" s="8"/>
      <c r="Q292" s="8"/>
      <c r="R292" s="8" t="s">
        <v>47</v>
      </c>
      <c r="S292" s="8" t="s">
        <v>608</v>
      </c>
      <c r="T292" s="8" t="s">
        <v>48</v>
      </c>
      <c r="U292" s="8"/>
    </row>
    <row r="293" spans="1:21" x14ac:dyDescent="0.25">
      <c r="A293" s="7">
        <v>864</v>
      </c>
      <c r="B293" s="8" t="s">
        <v>1202</v>
      </c>
      <c r="C293" s="8" t="s">
        <v>33</v>
      </c>
      <c r="D293" s="9">
        <v>39989</v>
      </c>
      <c r="E293" s="8" t="s">
        <v>11</v>
      </c>
      <c r="F293" s="8"/>
      <c r="G293" s="8" t="s">
        <v>48</v>
      </c>
      <c r="H293" s="8"/>
      <c r="I293" s="8" t="s">
        <v>1203</v>
      </c>
      <c r="J293" s="8"/>
      <c r="K293" s="8"/>
      <c r="L293" s="8"/>
      <c r="M293" s="8" t="s">
        <v>91</v>
      </c>
      <c r="N293" s="8" t="s">
        <v>1204</v>
      </c>
      <c r="O293" s="8" t="s">
        <v>114</v>
      </c>
      <c r="P293" s="8"/>
      <c r="Q293" s="8"/>
      <c r="R293" s="8" t="s">
        <v>47</v>
      </c>
      <c r="S293" s="8" t="s">
        <v>1205</v>
      </c>
      <c r="T293" s="8" t="s">
        <v>48</v>
      </c>
      <c r="U293" s="8"/>
    </row>
    <row r="294" spans="1:21" x14ac:dyDescent="0.25">
      <c r="A294" s="7">
        <v>865</v>
      </c>
      <c r="B294" s="8" t="s">
        <v>411</v>
      </c>
      <c r="C294" s="8" t="s">
        <v>33</v>
      </c>
      <c r="D294" s="9">
        <v>39401</v>
      </c>
      <c r="E294" s="8" t="s">
        <v>11</v>
      </c>
      <c r="F294" s="8" t="s">
        <v>44</v>
      </c>
      <c r="G294" s="8" t="s">
        <v>36</v>
      </c>
      <c r="H294" s="8"/>
      <c r="I294" s="8" t="s">
        <v>412</v>
      </c>
      <c r="J294" s="8"/>
      <c r="K294" s="8" t="s">
        <v>413</v>
      </c>
      <c r="L294" s="8" t="s">
        <v>41</v>
      </c>
      <c r="M294" s="8" t="s">
        <v>72</v>
      </c>
      <c r="N294" s="8" t="s">
        <v>414</v>
      </c>
      <c r="O294" s="8" t="s">
        <v>44</v>
      </c>
      <c r="P294" s="8" t="s">
        <v>55</v>
      </c>
      <c r="Q294" s="8" t="s">
        <v>55</v>
      </c>
      <c r="R294" s="8" t="s">
        <v>47</v>
      </c>
      <c r="S294" s="8" t="s">
        <v>415</v>
      </c>
      <c r="T294" s="8" t="s">
        <v>48</v>
      </c>
      <c r="U294" s="8"/>
    </row>
    <row r="295" spans="1:21" x14ac:dyDescent="0.25">
      <c r="A295" s="7">
        <v>866</v>
      </c>
      <c r="B295" s="8" t="s">
        <v>463</v>
      </c>
      <c r="C295" s="8" t="s">
        <v>33</v>
      </c>
      <c r="D295" s="9">
        <v>39874</v>
      </c>
      <c r="E295" s="8" t="s">
        <v>11</v>
      </c>
      <c r="F295" s="8" t="s">
        <v>58</v>
      </c>
      <c r="G295" s="8" t="s">
        <v>48</v>
      </c>
      <c r="H295" s="8" t="s">
        <v>464</v>
      </c>
      <c r="I295" s="8" t="s">
        <v>465</v>
      </c>
      <c r="J295" s="8" t="s">
        <v>466</v>
      </c>
      <c r="K295" s="8" t="s">
        <v>467</v>
      </c>
      <c r="L295" s="8" t="s">
        <v>468</v>
      </c>
      <c r="M295" s="8" t="s">
        <v>72</v>
      </c>
      <c r="N295" s="8" t="s">
        <v>469</v>
      </c>
      <c r="O295" s="8"/>
      <c r="P295" s="8" t="s">
        <v>62</v>
      </c>
      <c r="Q295" s="8" t="s">
        <v>55</v>
      </c>
      <c r="R295" s="8"/>
      <c r="S295" s="8" t="s">
        <v>470</v>
      </c>
      <c r="T295" s="8" t="s">
        <v>48</v>
      </c>
      <c r="U295" s="8"/>
    </row>
    <row r="296" spans="1:21" x14ac:dyDescent="0.25">
      <c r="A296" s="7">
        <v>867</v>
      </c>
      <c r="B296" s="8" t="s">
        <v>457</v>
      </c>
      <c r="C296" s="8" t="s">
        <v>33</v>
      </c>
      <c r="D296" s="9">
        <v>39704</v>
      </c>
      <c r="E296" s="8" t="s">
        <v>11</v>
      </c>
      <c r="F296" s="8" t="s">
        <v>78</v>
      </c>
      <c r="G296" s="8" t="s">
        <v>48</v>
      </c>
      <c r="H296" s="8"/>
      <c r="I296" s="8" t="s">
        <v>458</v>
      </c>
      <c r="J296" s="8"/>
      <c r="K296" s="8"/>
      <c r="L296" s="8" t="s">
        <v>459</v>
      </c>
      <c r="M296" s="8" t="s">
        <v>460</v>
      </c>
      <c r="N296" s="8" t="s">
        <v>461</v>
      </c>
      <c r="O296" s="8"/>
      <c r="P296" s="8" t="s">
        <v>278</v>
      </c>
      <c r="Q296" s="8" t="s">
        <v>55</v>
      </c>
      <c r="R296" s="8" t="s">
        <v>47</v>
      </c>
      <c r="S296" s="8" t="s">
        <v>462</v>
      </c>
      <c r="T296" s="8" t="s">
        <v>48</v>
      </c>
      <c r="U296" s="8"/>
    </row>
    <row r="297" spans="1:21" x14ac:dyDescent="0.25">
      <c r="A297" s="7">
        <v>868</v>
      </c>
      <c r="B297" s="8" t="s">
        <v>452</v>
      </c>
      <c r="C297" s="8" t="s">
        <v>33</v>
      </c>
      <c r="D297" s="9">
        <v>39993</v>
      </c>
      <c r="E297" s="8" t="s">
        <v>11</v>
      </c>
      <c r="F297" s="8" t="s">
        <v>392</v>
      </c>
      <c r="G297" s="8" t="s">
        <v>48</v>
      </c>
      <c r="H297" s="8"/>
      <c r="I297" s="8"/>
      <c r="J297" s="8"/>
      <c r="K297" s="8" t="s">
        <v>453</v>
      </c>
      <c r="L297" s="8" t="s">
        <v>90</v>
      </c>
      <c r="M297" s="8" t="s">
        <v>454</v>
      </c>
      <c r="N297" s="8" t="s">
        <v>202</v>
      </c>
      <c r="O297" s="8"/>
      <c r="P297" s="8" t="s">
        <v>455</v>
      </c>
      <c r="Q297" s="8" t="s">
        <v>239</v>
      </c>
      <c r="R297" s="8" t="s">
        <v>47</v>
      </c>
      <c r="S297" s="8" t="s">
        <v>456</v>
      </c>
      <c r="T297" s="8" t="s">
        <v>48</v>
      </c>
      <c r="U297" s="8"/>
    </row>
    <row r="298" spans="1:21" x14ac:dyDescent="0.25">
      <c r="A298" s="7">
        <v>869</v>
      </c>
      <c r="B298" s="8" t="s">
        <v>471</v>
      </c>
      <c r="C298" s="8" t="s">
        <v>33</v>
      </c>
      <c r="D298" s="9">
        <v>39357</v>
      </c>
      <c r="E298" s="8" t="s">
        <v>11</v>
      </c>
      <c r="F298" s="8" t="s">
        <v>392</v>
      </c>
      <c r="G298" s="8" t="s">
        <v>48</v>
      </c>
      <c r="H298" s="8"/>
      <c r="I298" s="8" t="s">
        <v>472</v>
      </c>
      <c r="J298" s="8"/>
      <c r="K298" s="8" t="s">
        <v>473</v>
      </c>
      <c r="L298" s="8"/>
      <c r="M298" s="8" t="s">
        <v>62</v>
      </c>
      <c r="N298" s="8" t="s">
        <v>474</v>
      </c>
      <c r="O298" s="8"/>
      <c r="P298" s="8" t="s">
        <v>46</v>
      </c>
      <c r="Q298" s="8" t="s">
        <v>475</v>
      </c>
      <c r="R298" s="8"/>
      <c r="S298" s="8" t="s">
        <v>476</v>
      </c>
      <c r="T298" s="8" t="s">
        <v>48</v>
      </c>
      <c r="U298" s="8"/>
    </row>
    <row r="299" spans="1:21" x14ac:dyDescent="0.25">
      <c r="A299" s="7">
        <v>870</v>
      </c>
      <c r="B299" s="8" t="s">
        <v>477</v>
      </c>
      <c r="C299" s="8" t="s">
        <v>33</v>
      </c>
      <c r="D299" s="9">
        <v>39752</v>
      </c>
      <c r="E299" s="8" t="s">
        <v>11</v>
      </c>
      <c r="F299" s="8" t="s">
        <v>166</v>
      </c>
      <c r="G299" s="8" t="s">
        <v>48</v>
      </c>
      <c r="H299" s="8"/>
      <c r="I299" s="8" t="s">
        <v>478</v>
      </c>
      <c r="J299" s="8"/>
      <c r="K299" s="8"/>
      <c r="L299" s="8" t="s">
        <v>190</v>
      </c>
      <c r="M299" s="8" t="s">
        <v>278</v>
      </c>
      <c r="N299" s="8" t="s">
        <v>479</v>
      </c>
      <c r="O299" s="8"/>
      <c r="P299" s="8" t="s">
        <v>46</v>
      </c>
      <c r="Q299" s="8"/>
      <c r="R299" s="8"/>
      <c r="S299" s="8" t="s">
        <v>480</v>
      </c>
      <c r="T299" s="8" t="s">
        <v>48</v>
      </c>
      <c r="U299" s="8"/>
    </row>
    <row r="300" spans="1:21" x14ac:dyDescent="0.25">
      <c r="A300" s="7">
        <v>871</v>
      </c>
      <c r="B300" s="8" t="s">
        <v>447</v>
      </c>
      <c r="C300" s="8" t="s">
        <v>33</v>
      </c>
      <c r="D300" s="9">
        <v>39477</v>
      </c>
      <c r="E300" s="8" t="s">
        <v>11</v>
      </c>
      <c r="F300" s="8" t="s">
        <v>448</v>
      </c>
      <c r="G300" s="8" t="s">
        <v>48</v>
      </c>
      <c r="H300" s="8"/>
      <c r="I300" s="8" t="s">
        <v>449</v>
      </c>
      <c r="J300" s="8"/>
      <c r="K300" s="8" t="s">
        <v>450</v>
      </c>
      <c r="L300" s="8" t="s">
        <v>61</v>
      </c>
      <c r="M300" s="8" t="s">
        <v>65</v>
      </c>
      <c r="N300" s="8" t="s">
        <v>359</v>
      </c>
      <c r="O300" s="8"/>
      <c r="P300" s="8" t="s">
        <v>55</v>
      </c>
      <c r="Q300" s="8" t="s">
        <v>239</v>
      </c>
      <c r="R300" s="8" t="s">
        <v>47</v>
      </c>
      <c r="S300" s="8" t="s">
        <v>451</v>
      </c>
      <c r="T300" s="8" t="s">
        <v>48</v>
      </c>
      <c r="U300" s="8"/>
    </row>
    <row r="301" spans="1:21" x14ac:dyDescent="0.25">
      <c r="A301" s="7">
        <v>872</v>
      </c>
      <c r="B301" s="8" t="s">
        <v>1246</v>
      </c>
      <c r="C301" s="8" t="s">
        <v>33</v>
      </c>
      <c r="D301" s="9">
        <v>40042</v>
      </c>
      <c r="E301" s="8" t="s">
        <v>11</v>
      </c>
      <c r="F301" s="8" t="s">
        <v>1247</v>
      </c>
      <c r="G301" s="8" t="s">
        <v>48</v>
      </c>
      <c r="H301" s="8" t="s">
        <v>1248</v>
      </c>
      <c r="I301" s="8" t="s">
        <v>1249</v>
      </c>
      <c r="J301" s="8" t="s">
        <v>1250</v>
      </c>
      <c r="K301" s="8" t="s">
        <v>1251</v>
      </c>
      <c r="L301" s="8"/>
      <c r="M301" s="8"/>
      <c r="N301" s="8" t="s">
        <v>124</v>
      </c>
      <c r="O301" s="8"/>
      <c r="P301" s="8" t="s">
        <v>62</v>
      </c>
      <c r="Q301" s="8" t="s">
        <v>1252</v>
      </c>
      <c r="R301" s="8" t="s">
        <v>47</v>
      </c>
      <c r="S301" s="8" t="s">
        <v>1253</v>
      </c>
      <c r="T301" s="8" t="s">
        <v>48</v>
      </c>
      <c r="U301" s="8"/>
    </row>
    <row r="302" spans="1:21" x14ac:dyDescent="0.25">
      <c r="A302" s="7">
        <v>873</v>
      </c>
      <c r="B302" s="8" t="s">
        <v>216</v>
      </c>
      <c r="C302" s="8" t="s">
        <v>33</v>
      </c>
      <c r="D302" s="9">
        <v>39711</v>
      </c>
      <c r="E302" s="8" t="s">
        <v>11</v>
      </c>
      <c r="F302" s="8" t="s">
        <v>58</v>
      </c>
      <c r="G302" s="8" t="s">
        <v>48</v>
      </c>
      <c r="H302" s="8"/>
      <c r="I302" s="8" t="s">
        <v>217</v>
      </c>
      <c r="J302" s="8" t="s">
        <v>218</v>
      </c>
      <c r="K302" s="8" t="s">
        <v>219</v>
      </c>
      <c r="L302" s="8" t="s">
        <v>41</v>
      </c>
      <c r="M302" s="8" t="s">
        <v>220</v>
      </c>
      <c r="N302" s="8" t="s">
        <v>124</v>
      </c>
      <c r="O302" s="8"/>
      <c r="P302" s="8" t="s">
        <v>55</v>
      </c>
      <c r="Q302" s="8" t="s">
        <v>221</v>
      </c>
      <c r="R302" s="8" t="s">
        <v>47</v>
      </c>
      <c r="S302" s="8" t="s">
        <v>222</v>
      </c>
      <c r="T302" s="8" t="s">
        <v>48</v>
      </c>
      <c r="U302" s="8"/>
    </row>
    <row r="303" spans="1:21" x14ac:dyDescent="0.25">
      <c r="A303" s="7">
        <v>874</v>
      </c>
      <c r="B303" s="8" t="s">
        <v>408</v>
      </c>
      <c r="C303" s="8" t="s">
        <v>33</v>
      </c>
      <c r="D303" s="9">
        <v>39607</v>
      </c>
      <c r="E303" s="8" t="s">
        <v>11</v>
      </c>
      <c r="F303" s="8"/>
      <c r="G303" s="8" t="s">
        <v>48</v>
      </c>
      <c r="H303" s="8"/>
      <c r="I303" s="8" t="s">
        <v>409</v>
      </c>
      <c r="J303" s="8"/>
      <c r="K303" s="8"/>
      <c r="L303" s="8"/>
      <c r="M303" s="8" t="s">
        <v>72</v>
      </c>
      <c r="N303" s="8" t="s">
        <v>410</v>
      </c>
      <c r="O303" s="8" t="s">
        <v>123</v>
      </c>
      <c r="P303" s="8"/>
      <c r="Q303" s="8" t="s">
        <v>62</v>
      </c>
      <c r="R303" s="8" t="s">
        <v>47</v>
      </c>
      <c r="S303" s="8"/>
      <c r="T303" s="8" t="s">
        <v>48</v>
      </c>
      <c r="U303" s="8"/>
    </row>
    <row r="304" spans="1:21" x14ac:dyDescent="0.25">
      <c r="A304" s="7">
        <v>875</v>
      </c>
      <c r="B304" s="8" t="s">
        <v>660</v>
      </c>
      <c r="C304" s="8" t="s">
        <v>33</v>
      </c>
      <c r="D304" s="9">
        <v>39492</v>
      </c>
      <c r="E304" s="8" t="s">
        <v>11</v>
      </c>
      <c r="F304" s="8" t="s">
        <v>661</v>
      </c>
      <c r="G304" s="8" t="s">
        <v>48</v>
      </c>
      <c r="H304" s="8"/>
      <c r="I304" s="8" t="s">
        <v>662</v>
      </c>
      <c r="J304" s="8" t="s">
        <v>286</v>
      </c>
      <c r="K304" s="8" t="s">
        <v>663</v>
      </c>
      <c r="L304" s="8" t="s">
        <v>664</v>
      </c>
      <c r="M304" s="8"/>
      <c r="N304" s="8" t="s">
        <v>665</v>
      </c>
      <c r="O304" s="8"/>
      <c r="P304" s="8"/>
      <c r="Q304" s="8" t="s">
        <v>666</v>
      </c>
      <c r="R304" s="8" t="s">
        <v>667</v>
      </c>
      <c r="S304" s="8" t="s">
        <v>668</v>
      </c>
      <c r="T304" s="8" t="s">
        <v>48</v>
      </c>
      <c r="U304" s="8"/>
    </row>
    <row r="305" spans="1:21" x14ac:dyDescent="0.25">
      <c r="A305" s="7">
        <v>876</v>
      </c>
      <c r="B305" s="8" t="s">
        <v>49</v>
      </c>
      <c r="C305" s="8" t="s">
        <v>33</v>
      </c>
      <c r="D305" s="9">
        <v>39683</v>
      </c>
      <c r="E305" s="8" t="s">
        <v>11</v>
      </c>
      <c r="F305" s="8"/>
      <c r="G305" s="8" t="s">
        <v>48</v>
      </c>
      <c r="H305" s="8"/>
      <c r="I305" s="8" t="s">
        <v>50</v>
      </c>
      <c r="J305" s="8"/>
      <c r="K305" s="8"/>
      <c r="L305" s="8"/>
      <c r="M305" s="8" t="s">
        <v>51</v>
      </c>
      <c r="N305" s="8" t="s">
        <v>52</v>
      </c>
      <c r="O305" s="8"/>
      <c r="P305" s="8"/>
      <c r="Q305" s="8"/>
      <c r="R305" s="8" t="s">
        <v>47</v>
      </c>
      <c r="S305" s="8"/>
      <c r="T305" s="8" t="s">
        <v>48</v>
      </c>
      <c r="U305" s="8"/>
    </row>
    <row r="306" spans="1:21" x14ac:dyDescent="0.25">
      <c r="A306" s="7">
        <v>877</v>
      </c>
      <c r="B306" s="8" t="s">
        <v>53</v>
      </c>
      <c r="C306" s="8" t="s">
        <v>33</v>
      </c>
      <c r="D306" s="9">
        <v>39625</v>
      </c>
      <c r="E306" s="8" t="s">
        <v>11</v>
      </c>
      <c r="F306" s="8"/>
      <c r="G306" s="8" t="s">
        <v>48</v>
      </c>
      <c r="H306" s="8"/>
      <c r="I306" s="8" t="s">
        <v>54</v>
      </c>
      <c r="J306" s="8"/>
      <c r="K306" s="8"/>
      <c r="L306" s="8"/>
      <c r="M306" s="8" t="s">
        <v>55</v>
      </c>
      <c r="N306" s="8" t="s">
        <v>56</v>
      </c>
      <c r="O306" s="8"/>
      <c r="P306" s="8"/>
      <c r="Q306" s="8"/>
      <c r="R306" s="8" t="s">
        <v>47</v>
      </c>
      <c r="S306" s="8"/>
      <c r="T306" s="8" t="s">
        <v>48</v>
      </c>
      <c r="U306" s="8"/>
    </row>
    <row r="307" spans="1:21" x14ac:dyDescent="0.25">
      <c r="A307" s="7">
        <v>878</v>
      </c>
      <c r="B307" s="8" t="s">
        <v>764</v>
      </c>
      <c r="C307" s="8" t="s">
        <v>33</v>
      </c>
      <c r="D307" s="9">
        <v>39878</v>
      </c>
      <c r="E307" s="8" t="s">
        <v>11</v>
      </c>
      <c r="F307" s="8" t="s">
        <v>392</v>
      </c>
      <c r="G307" s="8" t="s">
        <v>48</v>
      </c>
      <c r="H307" s="8"/>
      <c r="I307" s="8" t="s">
        <v>765</v>
      </c>
      <c r="J307" s="8" t="s">
        <v>766</v>
      </c>
      <c r="K307" s="8"/>
      <c r="L307" s="8" t="s">
        <v>238</v>
      </c>
      <c r="M307" s="8" t="s">
        <v>239</v>
      </c>
      <c r="N307" s="8" t="s">
        <v>767</v>
      </c>
      <c r="O307" s="8"/>
      <c r="P307" s="8" t="s">
        <v>72</v>
      </c>
      <c r="Q307" s="8" t="s">
        <v>552</v>
      </c>
      <c r="R307" s="8" t="s">
        <v>47</v>
      </c>
      <c r="S307" s="8" t="s">
        <v>768</v>
      </c>
      <c r="T307" s="8" t="s">
        <v>48</v>
      </c>
      <c r="U307" s="8"/>
    </row>
    <row r="308" spans="1:21" x14ac:dyDescent="0.25">
      <c r="A308" s="7">
        <v>879</v>
      </c>
      <c r="B308" s="8" t="s">
        <v>823</v>
      </c>
      <c r="C308" s="8" t="s">
        <v>33</v>
      </c>
      <c r="D308" s="9">
        <v>39766</v>
      </c>
      <c r="E308" s="8" t="s">
        <v>11</v>
      </c>
      <c r="F308" s="8"/>
      <c r="G308" s="8" t="s">
        <v>48</v>
      </c>
      <c r="H308" s="8"/>
      <c r="I308" s="8" t="s">
        <v>824</v>
      </c>
      <c r="J308" s="8"/>
      <c r="K308" s="8"/>
      <c r="L308" s="8"/>
      <c r="M308" s="8" t="s">
        <v>180</v>
      </c>
      <c r="N308" s="8" t="s">
        <v>767</v>
      </c>
      <c r="O308" s="8"/>
      <c r="P308" s="8" t="s">
        <v>55</v>
      </c>
      <c r="Q308" s="8" t="s">
        <v>83</v>
      </c>
      <c r="R308" s="8" t="s">
        <v>47</v>
      </c>
      <c r="S308" s="8"/>
      <c r="T308" s="8" t="s">
        <v>48</v>
      </c>
      <c r="U308" s="8"/>
    </row>
    <row r="309" spans="1:21" x14ac:dyDescent="0.25">
      <c r="A309" s="7">
        <v>880</v>
      </c>
      <c r="B309" s="8" t="s">
        <v>829</v>
      </c>
      <c r="C309" s="8" t="s">
        <v>33</v>
      </c>
      <c r="D309" s="9">
        <v>40007</v>
      </c>
      <c r="E309" s="8" t="s">
        <v>11</v>
      </c>
      <c r="F309" s="8"/>
      <c r="G309" s="8" t="s">
        <v>48</v>
      </c>
      <c r="H309" s="8"/>
      <c r="I309" s="8" t="s">
        <v>830</v>
      </c>
      <c r="J309" s="8"/>
      <c r="K309" s="8"/>
      <c r="L309" s="8"/>
      <c r="M309" s="8" t="s">
        <v>239</v>
      </c>
      <c r="N309" s="8" t="s">
        <v>831</v>
      </c>
      <c r="O309" s="8" t="s">
        <v>124</v>
      </c>
      <c r="P309" s="8"/>
      <c r="Q309" s="8"/>
      <c r="R309" s="8" t="s">
        <v>47</v>
      </c>
      <c r="S309" s="8"/>
      <c r="T309" s="8" t="s">
        <v>48</v>
      </c>
      <c r="U309" s="8"/>
    </row>
    <row r="310" spans="1:21" x14ac:dyDescent="0.25">
      <c r="A310" s="7">
        <v>881</v>
      </c>
      <c r="B310" s="8" t="s">
        <v>832</v>
      </c>
      <c r="C310" s="8" t="s">
        <v>33</v>
      </c>
      <c r="D310" s="9">
        <v>39750</v>
      </c>
      <c r="E310" s="8" t="s">
        <v>11</v>
      </c>
      <c r="F310" s="8"/>
      <c r="G310" s="8" t="s">
        <v>48</v>
      </c>
      <c r="H310" s="8"/>
      <c r="I310" s="8" t="s">
        <v>833</v>
      </c>
      <c r="J310" s="8"/>
      <c r="K310" s="8"/>
      <c r="L310" s="8"/>
      <c r="M310" s="8" t="s">
        <v>834</v>
      </c>
      <c r="N310" s="8" t="s">
        <v>124</v>
      </c>
      <c r="O310" s="8"/>
      <c r="P310" s="8"/>
      <c r="Q310" s="8"/>
      <c r="R310" s="8" t="s">
        <v>47</v>
      </c>
      <c r="S310" s="8"/>
      <c r="T310" s="8" t="s">
        <v>48</v>
      </c>
      <c r="U310" s="8"/>
    </row>
    <row r="311" spans="1:21" x14ac:dyDescent="0.25">
      <c r="A311" s="7">
        <v>882</v>
      </c>
      <c r="B311" s="8" t="s">
        <v>787</v>
      </c>
      <c r="C311" s="8" t="s">
        <v>33</v>
      </c>
      <c r="D311" s="9">
        <v>39491</v>
      </c>
      <c r="E311" s="8" t="s">
        <v>11</v>
      </c>
      <c r="F311" s="8"/>
      <c r="G311" s="8" t="s">
        <v>48</v>
      </c>
      <c r="H311" s="8"/>
      <c r="I311" s="8" t="s">
        <v>788</v>
      </c>
      <c r="J311" s="8"/>
      <c r="K311" s="8"/>
      <c r="L311" s="8"/>
      <c r="M311" s="8" t="s">
        <v>62</v>
      </c>
      <c r="N311" s="8" t="s">
        <v>789</v>
      </c>
      <c r="O311" s="8"/>
      <c r="P311" s="8"/>
      <c r="Q311" s="8"/>
      <c r="R311" s="8" t="s">
        <v>47</v>
      </c>
      <c r="S311" s="8"/>
      <c r="T311" s="8" t="s">
        <v>48</v>
      </c>
      <c r="U311" s="8"/>
    </row>
    <row r="312" spans="1:21" x14ac:dyDescent="0.25">
      <c r="A312" s="7">
        <v>883</v>
      </c>
      <c r="B312" s="8" t="s">
        <v>1375</v>
      </c>
      <c r="C312" s="8" t="s">
        <v>33</v>
      </c>
      <c r="D312" s="9">
        <v>39999</v>
      </c>
      <c r="E312" s="8" t="s">
        <v>11</v>
      </c>
      <c r="F312" s="8" t="s">
        <v>58</v>
      </c>
      <c r="G312" s="8" t="s">
        <v>48</v>
      </c>
      <c r="H312" s="8"/>
      <c r="I312" s="8" t="s">
        <v>1287</v>
      </c>
      <c r="J312" s="8"/>
      <c r="K312" s="8" t="s">
        <v>1288</v>
      </c>
      <c r="L312" s="8" t="s">
        <v>90</v>
      </c>
      <c r="M312" s="8" t="s">
        <v>492</v>
      </c>
      <c r="N312" s="8" t="s">
        <v>123</v>
      </c>
      <c r="O312" s="8"/>
      <c r="P312" s="8" t="s">
        <v>62</v>
      </c>
      <c r="Q312" s="8" t="s">
        <v>1289</v>
      </c>
      <c r="R312" s="8" t="s">
        <v>47</v>
      </c>
      <c r="S312" s="8" t="s">
        <v>1290</v>
      </c>
      <c r="T312" s="8" t="s">
        <v>48</v>
      </c>
      <c r="U312" s="8"/>
    </row>
    <row r="313" spans="1:21" x14ac:dyDescent="0.25">
      <c r="A313" s="7">
        <v>884</v>
      </c>
      <c r="B313" s="8" t="s">
        <v>1453</v>
      </c>
      <c r="C313" s="8" t="s">
        <v>33</v>
      </c>
      <c r="D313" s="9">
        <v>39743</v>
      </c>
      <c r="E313" s="8" t="s">
        <v>11</v>
      </c>
      <c r="F313" s="8" t="s">
        <v>1376</v>
      </c>
      <c r="G313" s="8" t="s">
        <v>48</v>
      </c>
      <c r="H313" s="8"/>
      <c r="I313" s="8"/>
      <c r="J313" s="8" t="s">
        <v>1377</v>
      </c>
      <c r="K313" s="8" t="s">
        <v>1378</v>
      </c>
      <c r="L313" s="8" t="s">
        <v>1379</v>
      </c>
      <c r="M313" s="8" t="s">
        <v>72</v>
      </c>
      <c r="N313" s="8" t="s">
        <v>76</v>
      </c>
      <c r="O313" s="8" t="s">
        <v>124</v>
      </c>
      <c r="P313" s="8"/>
      <c r="Q313" s="8"/>
      <c r="R313" s="8" t="s">
        <v>47</v>
      </c>
      <c r="S313" s="8"/>
      <c r="T313" s="8" t="s">
        <v>48</v>
      </c>
      <c r="U313" s="8"/>
    </row>
    <row r="314" spans="1:21" x14ac:dyDescent="0.25">
      <c r="A314" s="7">
        <v>885</v>
      </c>
      <c r="B314" s="8" t="s">
        <v>1380</v>
      </c>
      <c r="C314" s="8" t="s">
        <v>33</v>
      </c>
      <c r="D314" s="9">
        <v>39636</v>
      </c>
      <c r="E314" s="8" t="s">
        <v>11</v>
      </c>
      <c r="F314" s="8" t="s">
        <v>1381</v>
      </c>
      <c r="G314" s="8" t="s">
        <v>48</v>
      </c>
      <c r="H314" s="8"/>
      <c r="I314" s="8"/>
      <c r="J314" s="8" t="s">
        <v>1382</v>
      </c>
      <c r="K314" s="8" t="s">
        <v>1383</v>
      </c>
      <c r="L314" s="8" t="s">
        <v>1384</v>
      </c>
      <c r="M314" s="8" t="s">
        <v>358</v>
      </c>
      <c r="N314" s="8" t="s">
        <v>1385</v>
      </c>
      <c r="O314" s="8" t="s">
        <v>242</v>
      </c>
      <c r="P314" s="8"/>
      <c r="Q314" s="8"/>
      <c r="R314" s="8" t="s">
        <v>47</v>
      </c>
      <c r="S314" s="8" t="s">
        <v>438</v>
      </c>
      <c r="T314" s="8" t="s">
        <v>48</v>
      </c>
      <c r="U314" s="8"/>
    </row>
    <row r="315" spans="1:21" x14ac:dyDescent="0.25">
      <c r="A315" s="7">
        <v>886</v>
      </c>
      <c r="B315" s="8" t="s">
        <v>1386</v>
      </c>
      <c r="C315" s="8" t="s">
        <v>33</v>
      </c>
      <c r="D315" s="9">
        <v>40258</v>
      </c>
      <c r="E315" s="8" t="s">
        <v>11</v>
      </c>
      <c r="F315" s="8" t="s">
        <v>1387</v>
      </c>
      <c r="G315" s="8" t="s">
        <v>48</v>
      </c>
      <c r="H315" s="8"/>
      <c r="I315" s="8"/>
      <c r="J315" s="8" t="s">
        <v>1388</v>
      </c>
      <c r="K315" s="8" t="s">
        <v>1389</v>
      </c>
      <c r="L315" s="8" t="s">
        <v>1390</v>
      </c>
      <c r="M315" s="8" t="s">
        <v>125</v>
      </c>
      <c r="N315" s="8" t="s">
        <v>82</v>
      </c>
      <c r="O315" s="8"/>
      <c r="P315" s="8"/>
      <c r="Q315" s="8"/>
      <c r="R315" s="8" t="s">
        <v>47</v>
      </c>
      <c r="S315" s="8"/>
      <c r="T315" s="8" t="s">
        <v>48</v>
      </c>
      <c r="U315" s="8"/>
    </row>
    <row r="316" spans="1:21" x14ac:dyDescent="0.25">
      <c r="A316" s="7">
        <v>887</v>
      </c>
      <c r="B316" s="8" t="s">
        <v>1391</v>
      </c>
      <c r="C316" s="8" t="s">
        <v>33</v>
      </c>
      <c r="D316" s="9">
        <v>40016</v>
      </c>
      <c r="E316" s="8" t="s">
        <v>11</v>
      </c>
      <c r="F316" s="8" t="s">
        <v>1392</v>
      </c>
      <c r="G316" s="8" t="s">
        <v>48</v>
      </c>
      <c r="H316" s="8"/>
      <c r="I316" s="8"/>
      <c r="J316" s="8" t="s">
        <v>1393</v>
      </c>
      <c r="K316" s="8" t="s">
        <v>1394</v>
      </c>
      <c r="L316" s="8" t="s">
        <v>1395</v>
      </c>
      <c r="M316" s="8"/>
      <c r="N316" s="8" t="s">
        <v>786</v>
      </c>
      <c r="O316" s="8"/>
      <c r="P316" s="8" t="s">
        <v>65</v>
      </c>
      <c r="Q316" s="8" t="s">
        <v>83</v>
      </c>
      <c r="R316" s="8" t="s">
        <v>47</v>
      </c>
      <c r="S316" s="8" t="s">
        <v>1396</v>
      </c>
      <c r="T316" s="8" t="s">
        <v>48</v>
      </c>
      <c r="U316" s="8"/>
    </row>
    <row r="317" spans="1:21" x14ac:dyDescent="0.25">
      <c r="A317" s="7">
        <v>888</v>
      </c>
      <c r="B317" s="8" t="s">
        <v>1397</v>
      </c>
      <c r="C317" s="8" t="s">
        <v>33</v>
      </c>
      <c r="D317" s="9">
        <v>40095</v>
      </c>
      <c r="E317" s="8" t="s">
        <v>11</v>
      </c>
      <c r="F317" s="8" t="s">
        <v>133</v>
      </c>
      <c r="G317" s="8" t="s">
        <v>36</v>
      </c>
      <c r="H317" s="8" t="s">
        <v>1398</v>
      </c>
      <c r="I317" s="8" t="s">
        <v>1399</v>
      </c>
      <c r="J317" s="8"/>
      <c r="K317" s="8" t="s">
        <v>1400</v>
      </c>
      <c r="L317" s="8"/>
      <c r="M317" s="8" t="s">
        <v>42</v>
      </c>
      <c r="N317" s="8" t="s">
        <v>1204</v>
      </c>
      <c r="O317" s="8"/>
      <c r="P317" s="8" t="s">
        <v>93</v>
      </c>
      <c r="Q317" s="8" t="s">
        <v>93</v>
      </c>
      <c r="R317" s="8" t="s">
        <v>47</v>
      </c>
      <c r="S317" s="8" t="s">
        <v>560</v>
      </c>
      <c r="T317" s="8" t="s">
        <v>48</v>
      </c>
      <c r="U317" s="8"/>
    </row>
    <row r="318" spans="1:21" x14ac:dyDescent="0.25">
      <c r="A318" s="7">
        <v>889</v>
      </c>
      <c r="B318" s="8" t="s">
        <v>1401</v>
      </c>
      <c r="C318" s="8" t="s">
        <v>33</v>
      </c>
      <c r="D318" s="9">
        <v>39946</v>
      </c>
      <c r="E318" s="8" t="s">
        <v>11</v>
      </c>
      <c r="F318" s="8" t="s">
        <v>1402</v>
      </c>
      <c r="G318" s="8" t="s">
        <v>48</v>
      </c>
      <c r="H318" s="8"/>
      <c r="I318" s="8" t="s">
        <v>1403</v>
      </c>
      <c r="J318" s="8" t="s">
        <v>1404</v>
      </c>
      <c r="K318" s="8" t="s">
        <v>1405</v>
      </c>
      <c r="L318" s="8"/>
      <c r="M318" s="8"/>
      <c r="N318" s="8" t="s">
        <v>1406</v>
      </c>
      <c r="O318" s="8"/>
      <c r="P318" s="8" t="s">
        <v>42</v>
      </c>
      <c r="Q318" s="8"/>
      <c r="R318" s="8"/>
      <c r="S318" s="8" t="s">
        <v>1407</v>
      </c>
      <c r="T318" s="8" t="s">
        <v>48</v>
      </c>
      <c r="U318" s="8"/>
    </row>
    <row r="319" spans="1:21" x14ac:dyDescent="0.25">
      <c r="A319" s="7">
        <v>890</v>
      </c>
      <c r="B319" s="8" t="s">
        <v>1408</v>
      </c>
      <c r="C319" s="8" t="s">
        <v>33</v>
      </c>
      <c r="D319" s="9">
        <v>39881</v>
      </c>
      <c r="E319" s="8" t="s">
        <v>11</v>
      </c>
      <c r="F319" s="8" t="s">
        <v>58</v>
      </c>
      <c r="G319" s="8" t="s">
        <v>48</v>
      </c>
      <c r="H319" s="8" t="s">
        <v>1409</v>
      </c>
      <c r="I319" s="8" t="s">
        <v>1410</v>
      </c>
      <c r="J319" s="8" t="s">
        <v>1411</v>
      </c>
      <c r="K319" s="8" t="s">
        <v>1412</v>
      </c>
      <c r="L319" s="8"/>
      <c r="M319" s="8"/>
      <c r="N319" s="8" t="s">
        <v>52</v>
      </c>
      <c r="O319" s="8"/>
      <c r="P319" s="8" t="s">
        <v>46</v>
      </c>
      <c r="Q319" s="8" t="s">
        <v>45</v>
      </c>
      <c r="R319" s="8" t="s">
        <v>47</v>
      </c>
      <c r="S319" s="8" t="s">
        <v>820</v>
      </c>
      <c r="T319" s="8" t="s">
        <v>48</v>
      </c>
      <c r="U319" s="8"/>
    </row>
    <row r="320" spans="1:21" x14ac:dyDescent="0.25">
      <c r="A320" s="7">
        <v>891</v>
      </c>
      <c r="B320" s="8" t="s">
        <v>1413</v>
      </c>
      <c r="C320" s="8" t="s">
        <v>33</v>
      </c>
      <c r="D320" s="9">
        <v>39636</v>
      </c>
      <c r="E320" s="8" t="s">
        <v>11</v>
      </c>
      <c r="F320" s="8" t="s">
        <v>86</v>
      </c>
      <c r="G320" s="8" t="s">
        <v>48</v>
      </c>
      <c r="H320" s="8"/>
      <c r="I320" s="8" t="s">
        <v>1414</v>
      </c>
      <c r="J320" s="8" t="s">
        <v>1382</v>
      </c>
      <c r="K320" s="8" t="s">
        <v>1383</v>
      </c>
      <c r="L320" s="8" t="s">
        <v>61</v>
      </c>
      <c r="M320" s="8" t="s">
        <v>72</v>
      </c>
      <c r="N320" s="8" t="s">
        <v>1385</v>
      </c>
      <c r="O320" s="8" t="s">
        <v>242</v>
      </c>
      <c r="P320" s="8" t="s">
        <v>42</v>
      </c>
      <c r="Q320" s="8" t="s">
        <v>552</v>
      </c>
      <c r="R320" s="8" t="s">
        <v>47</v>
      </c>
      <c r="S320" s="8" t="s">
        <v>438</v>
      </c>
      <c r="T320" s="8" t="s">
        <v>48</v>
      </c>
      <c r="U320" s="8"/>
    </row>
    <row r="321" spans="1:21" x14ac:dyDescent="0.25">
      <c r="A321" s="7">
        <v>892</v>
      </c>
      <c r="B321" s="8" t="s">
        <v>1415</v>
      </c>
      <c r="C321" s="8" t="s">
        <v>33</v>
      </c>
      <c r="D321" s="9">
        <v>39824</v>
      </c>
      <c r="E321" s="8" t="s">
        <v>11</v>
      </c>
      <c r="F321" s="8" t="s">
        <v>639</v>
      </c>
      <c r="G321" s="8" t="s">
        <v>48</v>
      </c>
      <c r="H321" s="8"/>
      <c r="I321" s="8" t="s">
        <v>1416</v>
      </c>
      <c r="J321" s="8" t="s">
        <v>1417</v>
      </c>
      <c r="K321" s="8" t="s">
        <v>1418</v>
      </c>
      <c r="L321" s="8"/>
      <c r="M321" s="8" t="s">
        <v>51</v>
      </c>
      <c r="N321" s="8" t="s">
        <v>622</v>
      </c>
      <c r="O321" s="8"/>
      <c r="P321" s="8" t="s">
        <v>72</v>
      </c>
      <c r="Q321" s="8" t="s">
        <v>877</v>
      </c>
      <c r="R321" s="8" t="s">
        <v>47</v>
      </c>
      <c r="S321" s="8"/>
      <c r="T321" s="8" t="s">
        <v>48</v>
      </c>
      <c r="U321" s="8" t="s">
        <v>1419</v>
      </c>
    </row>
    <row r="322" spans="1:21" x14ac:dyDescent="0.25">
      <c r="A322" s="7">
        <v>893</v>
      </c>
      <c r="B322" s="8" t="s">
        <v>1420</v>
      </c>
      <c r="C322" s="8" t="s">
        <v>33</v>
      </c>
      <c r="D322" s="9">
        <v>40005</v>
      </c>
      <c r="E322" s="8" t="s">
        <v>11</v>
      </c>
      <c r="F322" s="8" t="s">
        <v>78</v>
      </c>
      <c r="G322" s="8" t="s">
        <v>36</v>
      </c>
      <c r="H322" s="8" t="s">
        <v>1421</v>
      </c>
      <c r="I322" s="8" t="s">
        <v>1422</v>
      </c>
      <c r="J322" s="8" t="s">
        <v>1423</v>
      </c>
      <c r="K322" s="8" t="s">
        <v>1421</v>
      </c>
      <c r="L322" s="8"/>
      <c r="M322" s="8"/>
      <c r="N322" s="8" t="s">
        <v>461</v>
      </c>
      <c r="O322" s="8"/>
      <c r="P322" s="8" t="s">
        <v>278</v>
      </c>
      <c r="Q322" s="8" t="s">
        <v>143</v>
      </c>
      <c r="R322" s="8" t="s">
        <v>47</v>
      </c>
      <c r="S322" s="8"/>
      <c r="T322" s="8" t="s">
        <v>48</v>
      </c>
      <c r="U322" s="8"/>
    </row>
    <row r="323" spans="1:21" x14ac:dyDescent="0.25">
      <c r="A323" s="7">
        <v>894</v>
      </c>
      <c r="B323" s="8" t="s">
        <v>1330</v>
      </c>
      <c r="C323" s="8" t="s">
        <v>33</v>
      </c>
      <c r="D323" s="9">
        <v>40156</v>
      </c>
      <c r="E323" s="8" t="s">
        <v>11</v>
      </c>
      <c r="F323" s="8" t="s">
        <v>78</v>
      </c>
      <c r="G323" s="8" t="s">
        <v>36</v>
      </c>
      <c r="H323" s="8"/>
      <c r="I323" s="8"/>
      <c r="J323" s="8" t="s">
        <v>1331</v>
      </c>
      <c r="K323" s="8" t="s">
        <v>1332</v>
      </c>
      <c r="L323" s="8"/>
      <c r="M323" s="8"/>
      <c r="N323" s="8" t="s">
        <v>1333</v>
      </c>
      <c r="O323" s="8" t="s">
        <v>176</v>
      </c>
      <c r="P323" s="8" t="s">
        <v>42</v>
      </c>
      <c r="Q323" s="8" t="s">
        <v>175</v>
      </c>
      <c r="R323" s="8" t="s">
        <v>47</v>
      </c>
      <c r="S323" s="8" t="s">
        <v>1334</v>
      </c>
      <c r="T323" s="8" t="s">
        <v>48</v>
      </c>
      <c r="U323" s="8"/>
    </row>
    <row r="324" spans="1:21" x14ac:dyDescent="0.25">
      <c r="A324" s="7">
        <v>900</v>
      </c>
      <c r="B324" s="8" t="s">
        <v>583</v>
      </c>
      <c r="C324" s="8" t="s">
        <v>33</v>
      </c>
      <c r="D324" s="9">
        <v>45236</v>
      </c>
      <c r="E324" s="8" t="s">
        <v>34</v>
      </c>
      <c r="F324" s="8" t="s">
        <v>584</v>
      </c>
      <c r="G324" s="8" t="s">
        <v>36</v>
      </c>
      <c r="H324" s="8" t="s">
        <v>585</v>
      </c>
      <c r="I324" s="8" t="s">
        <v>586</v>
      </c>
      <c r="J324" s="8" t="s">
        <v>587</v>
      </c>
      <c r="K324" s="8" t="s">
        <v>588</v>
      </c>
      <c r="L324" s="8" t="s">
        <v>589</v>
      </c>
      <c r="M324" s="8" t="s">
        <v>239</v>
      </c>
      <c r="N324" s="8" t="s">
        <v>590</v>
      </c>
      <c r="O324" s="8" t="s">
        <v>591</v>
      </c>
      <c r="P324" s="8" t="s">
        <v>125</v>
      </c>
      <c r="Q324" s="8" t="s">
        <v>592</v>
      </c>
      <c r="R324" s="8" t="s">
        <v>47</v>
      </c>
      <c r="S324" s="8" t="s">
        <v>593</v>
      </c>
      <c r="T324" s="8" t="s">
        <v>48</v>
      </c>
      <c r="U324" s="8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94528-4F78-4000-AF3C-C7FDC8C7362F}">
  <sheetPr>
    <tabColor theme="7" tint="0.39997558519241921"/>
  </sheetPr>
  <dimension ref="A1:N724"/>
  <sheetViews>
    <sheetView workbookViewId="0">
      <selection activeCell="E12" sqref="E12"/>
    </sheetView>
  </sheetViews>
  <sheetFormatPr defaultRowHeight="15" x14ac:dyDescent="0.25"/>
  <cols>
    <col min="1" max="1" width="5.140625" bestFit="1" customWidth="1"/>
    <col min="2" max="2" width="10.7109375" bestFit="1" customWidth="1"/>
    <col min="3" max="3" width="8" bestFit="1" customWidth="1"/>
    <col min="4" max="4" width="16.5703125" bestFit="1" customWidth="1"/>
    <col min="5" max="5" width="13.85546875" bestFit="1" customWidth="1"/>
    <col min="6" max="6" width="6.7109375" bestFit="1" customWidth="1"/>
    <col min="7" max="9" width="5.28515625" bestFit="1" customWidth="1"/>
    <col min="10" max="11" width="6.28515625" bestFit="1" customWidth="1"/>
    <col min="14" max="14" width="10.5703125" bestFit="1" customWidth="1"/>
  </cols>
  <sheetData>
    <row r="1" spans="1:14" x14ac:dyDescent="0.25">
      <c r="A1" t="s">
        <v>1</v>
      </c>
      <c r="B1" t="s">
        <v>1216</v>
      </c>
      <c r="C1" t="s">
        <v>13</v>
      </c>
      <c r="D1" t="s">
        <v>15</v>
      </c>
      <c r="E1" t="s">
        <v>1214</v>
      </c>
      <c r="F1" t="s">
        <v>1215</v>
      </c>
      <c r="G1" t="s">
        <v>1454</v>
      </c>
      <c r="H1" t="s">
        <v>1455</v>
      </c>
      <c r="I1" t="s">
        <v>1456</v>
      </c>
      <c r="J1" t="s">
        <v>1457</v>
      </c>
      <c r="K1" t="s">
        <v>1458</v>
      </c>
    </row>
    <row r="2" spans="1:14" x14ac:dyDescent="0.25">
      <c r="A2">
        <v>1</v>
      </c>
      <c r="B2" s="3">
        <v>45219</v>
      </c>
      <c r="C2" t="s">
        <v>33</v>
      </c>
      <c r="D2" t="s">
        <v>34</v>
      </c>
      <c r="E2" s="13">
        <v>0.89930555555555558</v>
      </c>
      <c r="F2" t="s">
        <v>1217</v>
      </c>
    </row>
    <row r="3" spans="1:14" x14ac:dyDescent="0.25">
      <c r="A3">
        <v>1</v>
      </c>
      <c r="B3" s="3">
        <v>45233</v>
      </c>
      <c r="C3" t="s">
        <v>33</v>
      </c>
      <c r="D3" t="s">
        <v>34</v>
      </c>
      <c r="E3" s="13">
        <v>0.52708333333333335</v>
      </c>
      <c r="F3" t="s">
        <v>1217</v>
      </c>
    </row>
    <row r="4" spans="1:14" x14ac:dyDescent="0.25">
      <c r="A4">
        <v>1</v>
      </c>
      <c r="B4" s="3">
        <v>45247</v>
      </c>
      <c r="C4" t="s">
        <v>33</v>
      </c>
      <c r="D4" t="s">
        <v>34</v>
      </c>
      <c r="E4" s="13">
        <v>0.95972222222222225</v>
      </c>
      <c r="F4" t="s">
        <v>1218</v>
      </c>
    </row>
    <row r="5" spans="1:14" x14ac:dyDescent="0.25">
      <c r="A5">
        <v>1</v>
      </c>
      <c r="B5" s="3">
        <v>45254</v>
      </c>
      <c r="C5" t="s">
        <v>33</v>
      </c>
      <c r="D5" t="s">
        <v>34</v>
      </c>
      <c r="E5" s="13">
        <v>0.53194444444444444</v>
      </c>
      <c r="F5" t="s">
        <v>1217</v>
      </c>
    </row>
    <row r="6" spans="1:14" x14ac:dyDescent="0.25">
      <c r="A6">
        <v>1</v>
      </c>
      <c r="B6" s="3">
        <v>45261</v>
      </c>
      <c r="C6" t="s">
        <v>33</v>
      </c>
      <c r="D6" t="s">
        <v>34</v>
      </c>
      <c r="E6" s="13">
        <v>0.54513888888888884</v>
      </c>
      <c r="F6" t="s">
        <v>1217</v>
      </c>
    </row>
    <row r="7" spans="1:14" x14ac:dyDescent="0.25">
      <c r="A7">
        <v>1</v>
      </c>
      <c r="B7" s="3">
        <v>45282</v>
      </c>
      <c r="C7" t="s">
        <v>33</v>
      </c>
      <c r="D7" t="s">
        <v>34</v>
      </c>
      <c r="E7" s="13">
        <v>0.5493055555555556</v>
      </c>
      <c r="F7" t="s">
        <v>1218</v>
      </c>
    </row>
    <row r="8" spans="1:14" x14ac:dyDescent="0.25">
      <c r="A8">
        <v>3</v>
      </c>
      <c r="B8" s="3">
        <v>45205</v>
      </c>
      <c r="C8" t="s">
        <v>33</v>
      </c>
      <c r="D8" t="s">
        <v>34</v>
      </c>
      <c r="E8" s="13">
        <v>0.8930555555555556</v>
      </c>
      <c r="F8" t="s">
        <v>1218</v>
      </c>
    </row>
    <row r="9" spans="1:14" x14ac:dyDescent="0.25">
      <c r="A9">
        <v>3</v>
      </c>
      <c r="B9" s="3">
        <v>45212</v>
      </c>
      <c r="C9" t="s">
        <v>33</v>
      </c>
      <c r="D9" t="s">
        <v>34</v>
      </c>
      <c r="E9" s="13">
        <v>0.55347222222222225</v>
      </c>
      <c r="F9" t="s">
        <v>1218</v>
      </c>
    </row>
    <row r="10" spans="1:14" x14ac:dyDescent="0.25">
      <c r="A10">
        <v>3</v>
      </c>
      <c r="B10" s="3">
        <v>45219</v>
      </c>
      <c r="C10" t="s">
        <v>33</v>
      </c>
      <c r="D10" t="s">
        <v>34</v>
      </c>
      <c r="E10" s="13">
        <v>0.8979166666666667</v>
      </c>
      <c r="F10" t="s">
        <v>1217</v>
      </c>
      <c r="N10" s="3"/>
    </row>
    <row r="11" spans="1:14" x14ac:dyDescent="0.25">
      <c r="A11">
        <v>3</v>
      </c>
      <c r="B11" s="3">
        <v>45226</v>
      </c>
      <c r="C11" t="s">
        <v>33</v>
      </c>
      <c r="D11" t="s">
        <v>34</v>
      </c>
      <c r="E11" s="13">
        <v>0.63055555555555554</v>
      </c>
      <c r="F11" t="s">
        <v>1217</v>
      </c>
    </row>
    <row r="12" spans="1:14" x14ac:dyDescent="0.25">
      <c r="A12">
        <v>3</v>
      </c>
      <c r="B12" s="3">
        <v>45233</v>
      </c>
      <c r="C12" t="s">
        <v>33</v>
      </c>
      <c r="D12" t="s">
        <v>34</v>
      </c>
      <c r="E12" s="13">
        <v>0.53194444444444444</v>
      </c>
      <c r="F12" t="s">
        <v>1217</v>
      </c>
    </row>
    <row r="13" spans="1:14" x14ac:dyDescent="0.25">
      <c r="A13">
        <v>3</v>
      </c>
      <c r="B13" s="3">
        <v>45240</v>
      </c>
      <c r="C13" t="s">
        <v>33</v>
      </c>
      <c r="D13" t="s">
        <v>34</v>
      </c>
      <c r="E13" s="13">
        <v>0.54305555555555551</v>
      </c>
      <c r="F13" t="s">
        <v>1217</v>
      </c>
    </row>
    <row r="14" spans="1:14" x14ac:dyDescent="0.25">
      <c r="A14">
        <v>3</v>
      </c>
      <c r="B14" s="3">
        <v>45254</v>
      </c>
      <c r="C14" t="s">
        <v>33</v>
      </c>
      <c r="D14" t="s">
        <v>34</v>
      </c>
      <c r="E14" s="13">
        <v>0.52708333333333335</v>
      </c>
      <c r="F14" t="s">
        <v>1217</v>
      </c>
    </row>
    <row r="15" spans="1:14" x14ac:dyDescent="0.25">
      <c r="A15">
        <v>3</v>
      </c>
      <c r="B15" s="3">
        <v>45261</v>
      </c>
      <c r="C15" t="s">
        <v>33</v>
      </c>
      <c r="D15" t="s">
        <v>34</v>
      </c>
      <c r="E15" s="13">
        <v>0.52638888888888891</v>
      </c>
      <c r="F15" t="s">
        <v>1217</v>
      </c>
    </row>
    <row r="16" spans="1:14" x14ac:dyDescent="0.25">
      <c r="A16">
        <v>3</v>
      </c>
      <c r="B16" s="3">
        <v>45268</v>
      </c>
      <c r="C16" t="s">
        <v>33</v>
      </c>
      <c r="D16" t="s">
        <v>34</v>
      </c>
      <c r="E16" s="13">
        <v>0.5395833333333333</v>
      </c>
      <c r="F16" t="s">
        <v>1217</v>
      </c>
    </row>
    <row r="17" spans="1:6" x14ac:dyDescent="0.25">
      <c r="A17">
        <v>3</v>
      </c>
      <c r="B17" s="3">
        <v>45275</v>
      </c>
      <c r="C17" t="s">
        <v>33</v>
      </c>
      <c r="D17" t="s">
        <v>34</v>
      </c>
      <c r="E17" s="13">
        <v>0.5444444444444444</v>
      </c>
      <c r="F17" t="s">
        <v>1217</v>
      </c>
    </row>
    <row r="18" spans="1:6" x14ac:dyDescent="0.25">
      <c r="A18">
        <v>3</v>
      </c>
      <c r="B18" s="3">
        <v>45282</v>
      </c>
      <c r="C18" t="s">
        <v>33</v>
      </c>
      <c r="D18" t="s">
        <v>34</v>
      </c>
      <c r="E18" s="13">
        <v>0.53333333333333333</v>
      </c>
      <c r="F18" t="s">
        <v>1217</v>
      </c>
    </row>
    <row r="19" spans="1:6" x14ac:dyDescent="0.25">
      <c r="A19">
        <v>4</v>
      </c>
      <c r="B19" s="3">
        <v>45198</v>
      </c>
      <c r="C19" t="s">
        <v>33</v>
      </c>
      <c r="D19" t="s">
        <v>34</v>
      </c>
      <c r="E19" s="13">
        <v>0.62152777777777779</v>
      </c>
      <c r="F19" t="s">
        <v>1217</v>
      </c>
    </row>
    <row r="20" spans="1:6" x14ac:dyDescent="0.25">
      <c r="A20">
        <v>4</v>
      </c>
      <c r="B20" s="3">
        <v>45205</v>
      </c>
      <c r="C20" t="s">
        <v>33</v>
      </c>
      <c r="D20" t="s">
        <v>34</v>
      </c>
      <c r="E20" s="13">
        <v>0.62569444444444444</v>
      </c>
      <c r="F20" t="s">
        <v>1217</v>
      </c>
    </row>
    <row r="21" spans="1:6" x14ac:dyDescent="0.25">
      <c r="A21">
        <v>4</v>
      </c>
      <c r="B21" s="3">
        <v>45212</v>
      </c>
      <c r="C21" t="s">
        <v>33</v>
      </c>
      <c r="D21" t="s">
        <v>34</v>
      </c>
      <c r="E21" s="13">
        <v>0.55138888888888893</v>
      </c>
      <c r="F21" t="s">
        <v>1217</v>
      </c>
    </row>
    <row r="22" spans="1:6" x14ac:dyDescent="0.25">
      <c r="A22">
        <v>4</v>
      </c>
      <c r="B22" s="3">
        <v>45219</v>
      </c>
      <c r="C22" t="s">
        <v>33</v>
      </c>
      <c r="D22" t="s">
        <v>34</v>
      </c>
      <c r="E22" s="13">
        <v>0.9</v>
      </c>
      <c r="F22" t="s">
        <v>1217</v>
      </c>
    </row>
    <row r="23" spans="1:6" x14ac:dyDescent="0.25">
      <c r="A23">
        <v>4</v>
      </c>
      <c r="B23" s="3">
        <v>45226</v>
      </c>
      <c r="C23" t="s">
        <v>33</v>
      </c>
      <c r="D23" t="s">
        <v>34</v>
      </c>
      <c r="E23" s="13">
        <v>0.62986111111111109</v>
      </c>
      <c r="F23" t="s">
        <v>1217</v>
      </c>
    </row>
    <row r="24" spans="1:6" x14ac:dyDescent="0.25">
      <c r="A24">
        <v>4</v>
      </c>
      <c r="B24" s="3">
        <v>45233</v>
      </c>
      <c r="C24" t="s">
        <v>33</v>
      </c>
      <c r="D24" t="s">
        <v>34</v>
      </c>
      <c r="E24" s="13">
        <v>0.53749999999999998</v>
      </c>
      <c r="F24" t="s">
        <v>1217</v>
      </c>
    </row>
    <row r="25" spans="1:6" x14ac:dyDescent="0.25">
      <c r="A25">
        <v>4</v>
      </c>
      <c r="B25" s="3">
        <v>45240</v>
      </c>
      <c r="C25" t="s">
        <v>33</v>
      </c>
      <c r="D25" t="s">
        <v>34</v>
      </c>
      <c r="E25" s="13">
        <v>0.55347222222222225</v>
      </c>
      <c r="F25" t="s">
        <v>1217</v>
      </c>
    </row>
    <row r="26" spans="1:6" x14ac:dyDescent="0.25">
      <c r="A26">
        <v>4</v>
      </c>
      <c r="B26" s="3">
        <v>45254</v>
      </c>
      <c r="C26" t="s">
        <v>33</v>
      </c>
      <c r="D26" t="s">
        <v>34</v>
      </c>
      <c r="E26" s="13">
        <v>0.54236111111111107</v>
      </c>
      <c r="F26" t="s">
        <v>1217</v>
      </c>
    </row>
    <row r="27" spans="1:6" x14ac:dyDescent="0.25">
      <c r="A27">
        <v>4</v>
      </c>
      <c r="B27" s="3">
        <v>45261</v>
      </c>
      <c r="C27" t="s">
        <v>33</v>
      </c>
      <c r="D27" t="s">
        <v>34</v>
      </c>
      <c r="E27" s="13">
        <v>0.55486111111111114</v>
      </c>
      <c r="F27" t="s">
        <v>1217</v>
      </c>
    </row>
    <row r="28" spans="1:6" x14ac:dyDescent="0.25">
      <c r="A28">
        <v>4</v>
      </c>
      <c r="B28" s="3">
        <v>45268</v>
      </c>
      <c r="C28" t="s">
        <v>33</v>
      </c>
      <c r="D28" t="s">
        <v>34</v>
      </c>
      <c r="E28" s="13">
        <v>0.5444444444444444</v>
      </c>
      <c r="F28" t="s">
        <v>1217</v>
      </c>
    </row>
    <row r="29" spans="1:6" x14ac:dyDescent="0.25">
      <c r="A29">
        <v>4</v>
      </c>
      <c r="B29" s="3">
        <v>45282</v>
      </c>
      <c r="C29" t="s">
        <v>33</v>
      </c>
      <c r="D29" t="s">
        <v>34</v>
      </c>
      <c r="E29" s="13">
        <v>0.54722222222222228</v>
      </c>
      <c r="F29" t="s">
        <v>1217</v>
      </c>
    </row>
    <row r="30" spans="1:6" x14ac:dyDescent="0.25">
      <c r="A30">
        <v>5</v>
      </c>
      <c r="B30" s="3">
        <v>45205</v>
      </c>
      <c r="C30" t="s">
        <v>33</v>
      </c>
      <c r="D30" t="s">
        <v>34</v>
      </c>
      <c r="E30" s="13">
        <v>0.62569444444444444</v>
      </c>
      <c r="F30" t="s">
        <v>1217</v>
      </c>
    </row>
    <row r="31" spans="1:6" x14ac:dyDescent="0.25">
      <c r="A31">
        <v>5</v>
      </c>
      <c r="B31" s="3">
        <v>45212</v>
      </c>
      <c r="C31" t="s">
        <v>33</v>
      </c>
      <c r="D31" t="s">
        <v>34</v>
      </c>
      <c r="E31" s="13">
        <v>0.60277777777777775</v>
      </c>
      <c r="F31" t="s">
        <v>1218</v>
      </c>
    </row>
    <row r="32" spans="1:6" x14ac:dyDescent="0.25">
      <c r="A32">
        <v>5</v>
      </c>
      <c r="B32" s="3">
        <v>45219</v>
      </c>
      <c r="C32" t="s">
        <v>33</v>
      </c>
      <c r="D32" t="s">
        <v>34</v>
      </c>
      <c r="E32" s="13">
        <v>0.9</v>
      </c>
      <c r="F32" t="s">
        <v>1217</v>
      </c>
    </row>
    <row r="33" spans="1:6" x14ac:dyDescent="0.25">
      <c r="A33">
        <v>5</v>
      </c>
      <c r="B33" s="3">
        <v>45226</v>
      </c>
      <c r="C33" t="s">
        <v>33</v>
      </c>
      <c r="D33" t="s">
        <v>34</v>
      </c>
      <c r="E33" s="13">
        <v>0.63055555555555554</v>
      </c>
      <c r="F33" t="s">
        <v>1217</v>
      </c>
    </row>
    <row r="34" spans="1:6" x14ac:dyDescent="0.25">
      <c r="A34">
        <v>5</v>
      </c>
      <c r="B34" s="3">
        <v>45233</v>
      </c>
      <c r="C34" t="s">
        <v>33</v>
      </c>
      <c r="D34" t="s">
        <v>34</v>
      </c>
      <c r="E34" s="13">
        <v>0.54097222222222219</v>
      </c>
      <c r="F34" t="s">
        <v>1217</v>
      </c>
    </row>
    <row r="35" spans="1:6" x14ac:dyDescent="0.25">
      <c r="A35">
        <v>5</v>
      </c>
      <c r="B35" s="3">
        <v>45240</v>
      </c>
      <c r="C35" t="s">
        <v>33</v>
      </c>
      <c r="D35" t="s">
        <v>34</v>
      </c>
      <c r="E35" s="13">
        <v>0.55555555555555558</v>
      </c>
      <c r="F35" t="s">
        <v>1217</v>
      </c>
    </row>
    <row r="36" spans="1:6" x14ac:dyDescent="0.25">
      <c r="A36">
        <v>5</v>
      </c>
      <c r="B36" s="3">
        <v>45247</v>
      </c>
      <c r="C36" t="s">
        <v>33</v>
      </c>
      <c r="D36" t="s">
        <v>34</v>
      </c>
      <c r="E36" s="13">
        <v>0.56527777777777777</v>
      </c>
      <c r="F36" t="s">
        <v>1218</v>
      </c>
    </row>
    <row r="37" spans="1:6" x14ac:dyDescent="0.25">
      <c r="A37">
        <v>5</v>
      </c>
      <c r="B37" s="3">
        <v>45261</v>
      </c>
      <c r="C37" t="s">
        <v>33</v>
      </c>
      <c r="D37" t="s">
        <v>34</v>
      </c>
      <c r="E37" s="13">
        <v>0.61388888888888893</v>
      </c>
      <c r="F37" t="s">
        <v>1218</v>
      </c>
    </row>
    <row r="38" spans="1:6" x14ac:dyDescent="0.25">
      <c r="A38">
        <v>5</v>
      </c>
      <c r="B38" s="3">
        <v>45268</v>
      </c>
      <c r="C38" t="s">
        <v>33</v>
      </c>
      <c r="D38" t="s">
        <v>34</v>
      </c>
      <c r="E38" s="13">
        <v>0.6118055555555556</v>
      </c>
      <c r="F38" t="s">
        <v>1218</v>
      </c>
    </row>
    <row r="39" spans="1:6" x14ac:dyDescent="0.25">
      <c r="A39">
        <v>5</v>
      </c>
      <c r="B39" s="3">
        <v>45275</v>
      </c>
      <c r="C39" t="s">
        <v>33</v>
      </c>
      <c r="D39" t="s">
        <v>34</v>
      </c>
      <c r="E39" s="13">
        <v>0.57291666666666663</v>
      </c>
      <c r="F39" t="s">
        <v>1218</v>
      </c>
    </row>
    <row r="40" spans="1:6" x14ac:dyDescent="0.25">
      <c r="A40">
        <v>5</v>
      </c>
      <c r="B40" s="3">
        <v>45282</v>
      </c>
      <c r="C40" t="s">
        <v>33</v>
      </c>
      <c r="D40" t="s">
        <v>34</v>
      </c>
      <c r="E40" s="13">
        <v>0.56111111111111112</v>
      </c>
      <c r="F40" t="s">
        <v>1217</v>
      </c>
    </row>
    <row r="41" spans="1:6" x14ac:dyDescent="0.25">
      <c r="A41">
        <v>6</v>
      </c>
      <c r="B41" s="3">
        <v>45233</v>
      </c>
      <c r="C41" t="s">
        <v>33</v>
      </c>
      <c r="D41" t="s">
        <v>34</v>
      </c>
      <c r="E41" s="13">
        <v>0.54236111111111107</v>
      </c>
      <c r="F41" t="s">
        <v>1217</v>
      </c>
    </row>
    <row r="42" spans="1:6" x14ac:dyDescent="0.25">
      <c r="A42">
        <v>6</v>
      </c>
      <c r="B42" s="3">
        <v>45261</v>
      </c>
      <c r="C42" t="s">
        <v>33</v>
      </c>
      <c r="D42" t="s">
        <v>34</v>
      </c>
      <c r="E42" s="13">
        <v>0.5395833333333333</v>
      </c>
      <c r="F42" t="s">
        <v>1217</v>
      </c>
    </row>
    <row r="43" spans="1:6" x14ac:dyDescent="0.25">
      <c r="A43">
        <v>6</v>
      </c>
      <c r="B43" s="3">
        <v>45268</v>
      </c>
      <c r="C43" t="s">
        <v>33</v>
      </c>
      <c r="D43" t="s">
        <v>34</v>
      </c>
      <c r="E43" s="13">
        <v>0.57708333333333328</v>
      </c>
      <c r="F43" t="s">
        <v>1217</v>
      </c>
    </row>
    <row r="44" spans="1:6" x14ac:dyDescent="0.25">
      <c r="A44">
        <v>6</v>
      </c>
      <c r="B44" s="3">
        <v>45275</v>
      </c>
      <c r="C44" t="s">
        <v>33</v>
      </c>
      <c r="D44" t="s">
        <v>34</v>
      </c>
      <c r="E44" s="13">
        <v>0.54652777777777772</v>
      </c>
      <c r="F44" t="s">
        <v>1217</v>
      </c>
    </row>
    <row r="45" spans="1:6" x14ac:dyDescent="0.25">
      <c r="A45">
        <v>6</v>
      </c>
      <c r="B45" s="3">
        <v>45282</v>
      </c>
      <c r="C45" t="s">
        <v>33</v>
      </c>
      <c r="D45" t="s">
        <v>34</v>
      </c>
      <c r="E45" s="13">
        <v>0.53888888888888886</v>
      </c>
      <c r="F45" t="s">
        <v>1217</v>
      </c>
    </row>
    <row r="46" spans="1:6" x14ac:dyDescent="0.25">
      <c r="A46">
        <v>102</v>
      </c>
      <c r="B46" s="3">
        <v>45198</v>
      </c>
      <c r="C46" t="s">
        <v>33</v>
      </c>
      <c r="D46" t="s">
        <v>34</v>
      </c>
      <c r="E46" s="13">
        <v>0.61111111111111116</v>
      </c>
      <c r="F46" t="s">
        <v>1217</v>
      </c>
    </row>
    <row r="47" spans="1:6" x14ac:dyDescent="0.25">
      <c r="A47">
        <v>102</v>
      </c>
      <c r="B47" s="3">
        <v>45212</v>
      </c>
      <c r="C47" t="s">
        <v>33</v>
      </c>
      <c r="D47" t="s">
        <v>34</v>
      </c>
      <c r="E47" s="13">
        <v>0.59652777777777777</v>
      </c>
      <c r="F47" t="s">
        <v>1218</v>
      </c>
    </row>
    <row r="48" spans="1:6" x14ac:dyDescent="0.25">
      <c r="A48">
        <v>102</v>
      </c>
      <c r="B48" s="3">
        <v>45254</v>
      </c>
      <c r="C48" t="s">
        <v>33</v>
      </c>
      <c r="D48" t="s">
        <v>34</v>
      </c>
      <c r="E48" s="13">
        <v>0.59097222222222223</v>
      </c>
      <c r="F48" t="s">
        <v>1217</v>
      </c>
    </row>
    <row r="49" spans="1:6" x14ac:dyDescent="0.25">
      <c r="A49">
        <v>102</v>
      </c>
      <c r="B49" s="3">
        <v>45268</v>
      </c>
      <c r="C49" t="s">
        <v>33</v>
      </c>
      <c r="D49" t="s">
        <v>34</v>
      </c>
      <c r="E49" s="13">
        <v>0.60138888888888886</v>
      </c>
      <c r="F49" t="s">
        <v>1218</v>
      </c>
    </row>
    <row r="50" spans="1:6" x14ac:dyDescent="0.25">
      <c r="A50">
        <v>103</v>
      </c>
      <c r="B50" s="3">
        <v>45198</v>
      </c>
      <c r="C50" t="s">
        <v>33</v>
      </c>
      <c r="D50" t="s">
        <v>34</v>
      </c>
      <c r="E50" s="13">
        <v>0.61250000000000004</v>
      </c>
      <c r="F50" t="s">
        <v>1217</v>
      </c>
    </row>
    <row r="51" spans="1:6" x14ac:dyDescent="0.25">
      <c r="A51">
        <v>103</v>
      </c>
      <c r="B51" s="3">
        <v>45205</v>
      </c>
      <c r="C51" t="s">
        <v>33</v>
      </c>
      <c r="D51" t="s">
        <v>34</v>
      </c>
      <c r="E51" s="13">
        <v>0.62291666666666667</v>
      </c>
      <c r="F51" t="s">
        <v>1217</v>
      </c>
    </row>
    <row r="52" spans="1:6" x14ac:dyDescent="0.25">
      <c r="A52">
        <v>103</v>
      </c>
      <c r="B52" s="3">
        <v>45212</v>
      </c>
      <c r="C52" t="s">
        <v>33</v>
      </c>
      <c r="D52" t="s">
        <v>34</v>
      </c>
      <c r="E52" s="13">
        <v>0.5493055555555556</v>
      </c>
      <c r="F52" t="s">
        <v>1217</v>
      </c>
    </row>
    <row r="53" spans="1:6" x14ac:dyDescent="0.25">
      <c r="A53">
        <v>103</v>
      </c>
      <c r="B53" s="3">
        <v>45219</v>
      </c>
      <c r="C53" t="s">
        <v>33</v>
      </c>
      <c r="D53" t="s">
        <v>34</v>
      </c>
      <c r="E53" s="13">
        <v>0.9</v>
      </c>
      <c r="F53" t="s">
        <v>1217</v>
      </c>
    </row>
    <row r="54" spans="1:6" x14ac:dyDescent="0.25">
      <c r="A54">
        <v>103</v>
      </c>
      <c r="B54" s="3">
        <v>45233</v>
      </c>
      <c r="C54" t="s">
        <v>33</v>
      </c>
      <c r="D54" t="s">
        <v>34</v>
      </c>
      <c r="E54" s="13">
        <v>0.53402777777777777</v>
      </c>
      <c r="F54" t="s">
        <v>1217</v>
      </c>
    </row>
    <row r="55" spans="1:6" x14ac:dyDescent="0.25">
      <c r="A55">
        <v>103</v>
      </c>
      <c r="B55" s="3">
        <v>45240</v>
      </c>
      <c r="C55" t="s">
        <v>33</v>
      </c>
      <c r="D55" t="s">
        <v>34</v>
      </c>
      <c r="E55" s="13">
        <v>0.55347222222222225</v>
      </c>
      <c r="F55" t="s">
        <v>1217</v>
      </c>
    </row>
    <row r="56" spans="1:6" x14ac:dyDescent="0.25">
      <c r="A56">
        <v>103</v>
      </c>
      <c r="B56" s="3">
        <v>45261</v>
      </c>
      <c r="C56" t="s">
        <v>33</v>
      </c>
      <c r="D56" t="s">
        <v>34</v>
      </c>
      <c r="E56" s="13">
        <v>0.52638888888888891</v>
      </c>
      <c r="F56" t="s">
        <v>1217</v>
      </c>
    </row>
    <row r="57" spans="1:6" x14ac:dyDescent="0.25">
      <c r="A57">
        <v>103</v>
      </c>
      <c r="B57" s="3">
        <v>45282</v>
      </c>
      <c r="C57" t="s">
        <v>33</v>
      </c>
      <c r="D57" t="s">
        <v>34</v>
      </c>
      <c r="E57" s="13">
        <v>0.53402777777777777</v>
      </c>
      <c r="F57" t="s">
        <v>1217</v>
      </c>
    </row>
    <row r="58" spans="1:6" x14ac:dyDescent="0.25">
      <c r="A58">
        <v>104</v>
      </c>
      <c r="B58" s="3">
        <v>45198</v>
      </c>
      <c r="C58" t="s">
        <v>33</v>
      </c>
      <c r="D58" t="s">
        <v>34</v>
      </c>
      <c r="E58" s="13">
        <v>0.61250000000000004</v>
      </c>
      <c r="F58" t="s">
        <v>1217</v>
      </c>
    </row>
    <row r="59" spans="1:6" x14ac:dyDescent="0.25">
      <c r="A59">
        <v>104</v>
      </c>
      <c r="B59" s="3">
        <v>45205</v>
      </c>
      <c r="C59" t="s">
        <v>33</v>
      </c>
      <c r="D59" t="s">
        <v>34</v>
      </c>
      <c r="E59" s="13">
        <v>0.62361111111111112</v>
      </c>
      <c r="F59" t="s">
        <v>1217</v>
      </c>
    </row>
    <row r="60" spans="1:6" x14ac:dyDescent="0.25">
      <c r="A60">
        <v>104</v>
      </c>
      <c r="B60" s="3">
        <v>45212</v>
      </c>
      <c r="C60" t="s">
        <v>33</v>
      </c>
      <c r="D60" t="s">
        <v>34</v>
      </c>
      <c r="E60" s="13">
        <v>0.55000000000000004</v>
      </c>
      <c r="F60" t="s">
        <v>1217</v>
      </c>
    </row>
    <row r="61" spans="1:6" x14ac:dyDescent="0.25">
      <c r="A61">
        <v>112</v>
      </c>
      <c r="B61" s="3">
        <v>45240</v>
      </c>
      <c r="C61" t="s">
        <v>33</v>
      </c>
      <c r="D61" t="s">
        <v>4</v>
      </c>
      <c r="E61" s="13">
        <v>0.56041666666666667</v>
      </c>
      <c r="F61" t="s">
        <v>1217</v>
      </c>
    </row>
    <row r="62" spans="1:6" x14ac:dyDescent="0.25">
      <c r="A62">
        <v>112</v>
      </c>
      <c r="B62" s="3">
        <v>45261</v>
      </c>
      <c r="C62" t="s">
        <v>33</v>
      </c>
      <c r="D62" t="s">
        <v>4</v>
      </c>
      <c r="E62" s="13">
        <v>0.56319444444444444</v>
      </c>
      <c r="F62" t="s">
        <v>1218</v>
      </c>
    </row>
    <row r="63" spans="1:6" x14ac:dyDescent="0.25">
      <c r="A63">
        <v>113</v>
      </c>
      <c r="B63" s="3">
        <v>45226</v>
      </c>
      <c r="C63" t="s">
        <v>33</v>
      </c>
      <c r="D63" t="s">
        <v>4</v>
      </c>
      <c r="E63" s="13">
        <v>0.57430555555555551</v>
      </c>
      <c r="F63" t="s">
        <v>1217</v>
      </c>
    </row>
    <row r="64" spans="1:6" x14ac:dyDescent="0.25">
      <c r="A64">
        <v>115</v>
      </c>
      <c r="B64" s="3">
        <v>45226</v>
      </c>
      <c r="C64" t="s">
        <v>33</v>
      </c>
      <c r="D64" t="s">
        <v>4</v>
      </c>
      <c r="E64" s="13">
        <v>0.57916666666666672</v>
      </c>
      <c r="F64" t="s">
        <v>1217</v>
      </c>
    </row>
    <row r="65" spans="1:6" x14ac:dyDescent="0.25">
      <c r="A65">
        <v>115</v>
      </c>
      <c r="B65" s="3">
        <v>45247</v>
      </c>
      <c r="C65" t="s">
        <v>33</v>
      </c>
      <c r="D65" t="s">
        <v>4</v>
      </c>
      <c r="E65" s="13">
        <v>0.55347222222222225</v>
      </c>
      <c r="F65" t="s">
        <v>1217</v>
      </c>
    </row>
    <row r="66" spans="1:6" x14ac:dyDescent="0.25">
      <c r="A66">
        <v>115</v>
      </c>
      <c r="B66" s="3">
        <v>45254</v>
      </c>
      <c r="C66" t="s">
        <v>33</v>
      </c>
      <c r="D66" t="s">
        <v>4</v>
      </c>
      <c r="E66" s="13">
        <v>0.56041666666666667</v>
      </c>
      <c r="F66" t="s">
        <v>1217</v>
      </c>
    </row>
    <row r="67" spans="1:6" x14ac:dyDescent="0.25">
      <c r="A67">
        <v>116</v>
      </c>
      <c r="B67" s="3">
        <v>45219</v>
      </c>
      <c r="C67" t="s">
        <v>33</v>
      </c>
      <c r="D67" t="s">
        <v>4</v>
      </c>
      <c r="E67" s="13">
        <v>0.89861111111111114</v>
      </c>
      <c r="F67" t="s">
        <v>1217</v>
      </c>
    </row>
    <row r="68" spans="1:6" x14ac:dyDescent="0.25">
      <c r="A68">
        <v>116</v>
      </c>
      <c r="B68" s="3">
        <v>45226</v>
      </c>
      <c r="C68" t="s">
        <v>33</v>
      </c>
      <c r="D68" t="s">
        <v>4</v>
      </c>
      <c r="E68" s="13">
        <v>0.57361111111111107</v>
      </c>
      <c r="F68" t="s">
        <v>1217</v>
      </c>
    </row>
    <row r="69" spans="1:6" x14ac:dyDescent="0.25">
      <c r="A69">
        <v>116</v>
      </c>
      <c r="B69" s="3">
        <v>45233</v>
      </c>
      <c r="C69" t="s">
        <v>33</v>
      </c>
      <c r="D69" t="s">
        <v>4</v>
      </c>
      <c r="E69" s="13">
        <v>0.55486111111111114</v>
      </c>
      <c r="F69" t="s">
        <v>1217</v>
      </c>
    </row>
    <row r="70" spans="1:6" x14ac:dyDescent="0.25">
      <c r="A70">
        <v>116</v>
      </c>
      <c r="B70" s="3">
        <v>45240</v>
      </c>
      <c r="C70" t="s">
        <v>33</v>
      </c>
      <c r="D70" t="s">
        <v>4</v>
      </c>
      <c r="E70" s="13">
        <v>0.55277777777777781</v>
      </c>
      <c r="F70" t="s">
        <v>1217</v>
      </c>
    </row>
    <row r="71" spans="1:6" x14ac:dyDescent="0.25">
      <c r="A71">
        <v>116</v>
      </c>
      <c r="B71" s="3">
        <v>45254</v>
      </c>
      <c r="C71" t="s">
        <v>33</v>
      </c>
      <c r="D71" t="s">
        <v>4</v>
      </c>
      <c r="E71" s="13">
        <v>0.54652777777777772</v>
      </c>
      <c r="F71" t="s">
        <v>1217</v>
      </c>
    </row>
    <row r="72" spans="1:6" x14ac:dyDescent="0.25">
      <c r="A72">
        <v>116</v>
      </c>
      <c r="B72" s="3">
        <v>45261</v>
      </c>
      <c r="C72" t="s">
        <v>33</v>
      </c>
      <c r="D72" t="s">
        <v>4</v>
      </c>
      <c r="E72" s="13">
        <v>0.57638888888888884</v>
      </c>
      <c r="F72" t="s">
        <v>1218</v>
      </c>
    </row>
    <row r="73" spans="1:6" x14ac:dyDescent="0.25">
      <c r="A73">
        <v>116</v>
      </c>
      <c r="B73" s="3">
        <v>45268</v>
      </c>
      <c r="C73" t="s">
        <v>33</v>
      </c>
      <c r="D73" t="s">
        <v>4</v>
      </c>
      <c r="E73" s="13">
        <v>0.54791666666666672</v>
      </c>
      <c r="F73" t="s">
        <v>1217</v>
      </c>
    </row>
    <row r="74" spans="1:6" x14ac:dyDescent="0.25">
      <c r="A74">
        <v>116</v>
      </c>
      <c r="B74" s="3">
        <v>45282</v>
      </c>
      <c r="C74" t="s">
        <v>33</v>
      </c>
      <c r="D74" t="s">
        <v>4</v>
      </c>
      <c r="E74" s="13">
        <v>0.57222222222222219</v>
      </c>
      <c r="F74" t="s">
        <v>1218</v>
      </c>
    </row>
    <row r="75" spans="1:6" x14ac:dyDescent="0.25">
      <c r="A75">
        <v>119</v>
      </c>
      <c r="B75" s="3">
        <v>45268</v>
      </c>
      <c r="C75" t="s">
        <v>33</v>
      </c>
      <c r="D75" t="s">
        <v>4</v>
      </c>
      <c r="E75" s="13">
        <v>0.56041666666666667</v>
      </c>
      <c r="F75" t="s">
        <v>1217</v>
      </c>
    </row>
    <row r="76" spans="1:6" x14ac:dyDescent="0.25">
      <c r="A76">
        <v>120</v>
      </c>
      <c r="B76" s="3">
        <v>45247</v>
      </c>
      <c r="C76" t="s">
        <v>33</v>
      </c>
      <c r="D76" t="s">
        <v>4</v>
      </c>
      <c r="E76" s="13">
        <v>0.56319444444444444</v>
      </c>
      <c r="F76" t="s">
        <v>1218</v>
      </c>
    </row>
    <row r="77" spans="1:6" x14ac:dyDescent="0.25">
      <c r="A77">
        <v>120</v>
      </c>
      <c r="B77" s="3">
        <v>45254</v>
      </c>
      <c r="C77" t="s">
        <v>33</v>
      </c>
      <c r="D77" t="s">
        <v>4</v>
      </c>
      <c r="E77" s="13">
        <v>0.55486111111111114</v>
      </c>
      <c r="F77" t="s">
        <v>1217</v>
      </c>
    </row>
    <row r="78" spans="1:6" x14ac:dyDescent="0.25">
      <c r="A78">
        <v>120</v>
      </c>
      <c r="B78" s="3">
        <v>45261</v>
      </c>
      <c r="C78" t="s">
        <v>33</v>
      </c>
      <c r="D78" t="s">
        <v>4</v>
      </c>
      <c r="E78" s="13">
        <v>0.58333333333333337</v>
      </c>
      <c r="F78" t="s">
        <v>1218</v>
      </c>
    </row>
    <row r="79" spans="1:6" x14ac:dyDescent="0.25">
      <c r="A79">
        <v>120</v>
      </c>
      <c r="B79" s="3">
        <v>45275</v>
      </c>
      <c r="C79" t="s">
        <v>33</v>
      </c>
      <c r="D79" t="s">
        <v>4</v>
      </c>
      <c r="E79" s="13">
        <v>0.58680555555555558</v>
      </c>
      <c r="F79" t="s">
        <v>1218</v>
      </c>
    </row>
    <row r="80" spans="1:6" x14ac:dyDescent="0.25">
      <c r="A80">
        <v>121</v>
      </c>
      <c r="B80" s="3">
        <v>45268</v>
      </c>
      <c r="C80" t="s">
        <v>33</v>
      </c>
      <c r="D80" t="s">
        <v>4</v>
      </c>
      <c r="E80" s="13">
        <v>0.56319444444444444</v>
      </c>
      <c r="F80" t="s">
        <v>1218</v>
      </c>
    </row>
    <row r="81" spans="1:6" x14ac:dyDescent="0.25">
      <c r="A81">
        <v>121</v>
      </c>
      <c r="B81" s="3">
        <v>45282</v>
      </c>
      <c r="C81" t="s">
        <v>33</v>
      </c>
      <c r="D81" t="s">
        <v>4</v>
      </c>
      <c r="E81" s="13">
        <v>0.55138888888888893</v>
      </c>
      <c r="F81" t="s">
        <v>1217</v>
      </c>
    </row>
    <row r="82" spans="1:6" x14ac:dyDescent="0.25">
      <c r="A82">
        <v>122</v>
      </c>
      <c r="B82" s="3">
        <v>45226</v>
      </c>
      <c r="C82" t="s">
        <v>33</v>
      </c>
      <c r="D82" t="s">
        <v>4</v>
      </c>
      <c r="E82" s="13">
        <v>0.57499999999999996</v>
      </c>
      <c r="F82" t="s">
        <v>1217</v>
      </c>
    </row>
    <row r="83" spans="1:6" x14ac:dyDescent="0.25">
      <c r="A83">
        <v>122</v>
      </c>
      <c r="B83" s="3">
        <v>45261</v>
      </c>
      <c r="C83" t="s">
        <v>33</v>
      </c>
      <c r="D83" t="s">
        <v>4</v>
      </c>
      <c r="E83" s="13">
        <v>0.54166666666666663</v>
      </c>
      <c r="F83" t="s">
        <v>1217</v>
      </c>
    </row>
    <row r="84" spans="1:6" x14ac:dyDescent="0.25">
      <c r="A84">
        <v>123</v>
      </c>
      <c r="B84" s="3">
        <v>45240</v>
      </c>
      <c r="C84" t="s">
        <v>33</v>
      </c>
      <c r="D84" t="s">
        <v>4</v>
      </c>
      <c r="E84" s="13">
        <v>0.55069444444444449</v>
      </c>
      <c r="F84" t="s">
        <v>1217</v>
      </c>
    </row>
    <row r="85" spans="1:6" x14ac:dyDescent="0.25">
      <c r="A85">
        <v>123</v>
      </c>
      <c r="B85" s="3">
        <v>45254</v>
      </c>
      <c r="C85" t="s">
        <v>33</v>
      </c>
      <c r="D85" t="s">
        <v>4</v>
      </c>
      <c r="E85" s="13">
        <v>0.61458333333333337</v>
      </c>
      <c r="F85" t="s">
        <v>1218</v>
      </c>
    </row>
    <row r="86" spans="1:6" x14ac:dyDescent="0.25">
      <c r="A86">
        <v>123</v>
      </c>
      <c r="B86" s="3">
        <v>45268</v>
      </c>
      <c r="C86" t="s">
        <v>33</v>
      </c>
      <c r="D86" t="s">
        <v>4</v>
      </c>
      <c r="E86" s="13">
        <v>0.5756944444444444</v>
      </c>
      <c r="F86" t="s">
        <v>1218</v>
      </c>
    </row>
    <row r="87" spans="1:6" x14ac:dyDescent="0.25">
      <c r="A87">
        <v>126</v>
      </c>
      <c r="B87" s="3">
        <v>45233</v>
      </c>
      <c r="C87" t="s">
        <v>33</v>
      </c>
      <c r="D87" t="s">
        <v>4</v>
      </c>
      <c r="E87" s="13">
        <v>0.57361111111111107</v>
      </c>
      <c r="F87" t="s">
        <v>1218</v>
      </c>
    </row>
    <row r="88" spans="1:6" x14ac:dyDescent="0.25">
      <c r="A88">
        <v>127</v>
      </c>
      <c r="B88" s="3">
        <v>45240</v>
      </c>
      <c r="C88" t="s">
        <v>33</v>
      </c>
      <c r="D88" t="s">
        <v>4</v>
      </c>
      <c r="E88" s="13">
        <v>0.56666666666666665</v>
      </c>
      <c r="F88" t="s">
        <v>1218</v>
      </c>
    </row>
    <row r="89" spans="1:6" x14ac:dyDescent="0.25">
      <c r="A89">
        <v>128</v>
      </c>
      <c r="B89" s="3">
        <v>45219</v>
      </c>
      <c r="C89" t="s">
        <v>33</v>
      </c>
      <c r="D89" t="s">
        <v>4</v>
      </c>
      <c r="E89" s="13">
        <v>0.9</v>
      </c>
      <c r="F89" t="s">
        <v>1217</v>
      </c>
    </row>
    <row r="90" spans="1:6" x14ac:dyDescent="0.25">
      <c r="A90">
        <v>128</v>
      </c>
      <c r="B90" s="3">
        <v>45282</v>
      </c>
      <c r="C90" t="s">
        <v>33</v>
      </c>
      <c r="D90" t="s">
        <v>4</v>
      </c>
      <c r="E90" s="13">
        <v>0.54374999999999996</v>
      </c>
      <c r="F90" t="s">
        <v>1217</v>
      </c>
    </row>
    <row r="91" spans="1:6" x14ac:dyDescent="0.25">
      <c r="A91">
        <v>129</v>
      </c>
      <c r="B91" s="3">
        <v>45219</v>
      </c>
      <c r="C91" t="s">
        <v>33</v>
      </c>
      <c r="D91" t="s">
        <v>4</v>
      </c>
      <c r="E91" s="13">
        <v>0.89930555555555558</v>
      </c>
      <c r="F91" t="s">
        <v>1217</v>
      </c>
    </row>
    <row r="92" spans="1:6" x14ac:dyDescent="0.25">
      <c r="A92">
        <v>129</v>
      </c>
      <c r="B92" s="3">
        <v>45268</v>
      </c>
      <c r="C92" t="s">
        <v>33</v>
      </c>
      <c r="D92" t="s">
        <v>4</v>
      </c>
      <c r="E92" s="13">
        <v>0.54722222222222228</v>
      </c>
      <c r="F92" t="s">
        <v>1217</v>
      </c>
    </row>
    <row r="93" spans="1:6" x14ac:dyDescent="0.25">
      <c r="A93">
        <v>133</v>
      </c>
      <c r="B93" s="3">
        <v>45268</v>
      </c>
      <c r="C93" t="s">
        <v>33</v>
      </c>
      <c r="D93" t="s">
        <v>4</v>
      </c>
      <c r="E93" s="13">
        <v>0.54722222222222228</v>
      </c>
      <c r="F93" t="s">
        <v>1217</v>
      </c>
    </row>
    <row r="94" spans="1:6" x14ac:dyDescent="0.25">
      <c r="A94">
        <v>137</v>
      </c>
      <c r="B94" s="3">
        <v>45219</v>
      </c>
      <c r="C94" t="s">
        <v>33</v>
      </c>
      <c r="D94" t="s">
        <v>4</v>
      </c>
      <c r="E94" s="13">
        <v>0.89930555555555558</v>
      </c>
      <c r="F94" t="s">
        <v>1217</v>
      </c>
    </row>
    <row r="95" spans="1:6" x14ac:dyDescent="0.25">
      <c r="A95">
        <v>137</v>
      </c>
      <c r="B95" s="3">
        <v>45233</v>
      </c>
      <c r="C95" t="s">
        <v>33</v>
      </c>
      <c r="D95" t="s">
        <v>4</v>
      </c>
      <c r="E95" s="13">
        <v>0.5625</v>
      </c>
      <c r="F95" t="s">
        <v>1217</v>
      </c>
    </row>
    <row r="96" spans="1:6" x14ac:dyDescent="0.25">
      <c r="A96">
        <v>137</v>
      </c>
      <c r="B96" s="3">
        <v>45261</v>
      </c>
      <c r="C96" t="s">
        <v>33</v>
      </c>
      <c r="D96" t="s">
        <v>4</v>
      </c>
      <c r="E96" s="13">
        <v>0.5756944444444444</v>
      </c>
      <c r="F96" t="s">
        <v>1218</v>
      </c>
    </row>
    <row r="97" spans="1:6" x14ac:dyDescent="0.25">
      <c r="A97">
        <v>137</v>
      </c>
      <c r="B97" s="3">
        <v>45268</v>
      </c>
      <c r="C97" t="s">
        <v>33</v>
      </c>
      <c r="D97" t="s">
        <v>4</v>
      </c>
      <c r="E97" s="13">
        <v>0.59444444444444444</v>
      </c>
      <c r="F97" t="s">
        <v>1218</v>
      </c>
    </row>
    <row r="98" spans="1:6" x14ac:dyDescent="0.25">
      <c r="A98">
        <v>137</v>
      </c>
      <c r="B98" s="3">
        <v>45275</v>
      </c>
      <c r="C98" t="s">
        <v>33</v>
      </c>
      <c r="D98" t="s">
        <v>4</v>
      </c>
      <c r="E98" s="13">
        <v>0.5854166666666667</v>
      </c>
      <c r="F98" t="s">
        <v>1218</v>
      </c>
    </row>
    <row r="99" spans="1:6" x14ac:dyDescent="0.25">
      <c r="A99">
        <v>137</v>
      </c>
      <c r="B99" s="3">
        <v>45282</v>
      </c>
      <c r="C99" t="s">
        <v>33</v>
      </c>
      <c r="D99" t="s">
        <v>4</v>
      </c>
      <c r="E99" s="13">
        <v>0.56736111111111109</v>
      </c>
      <c r="F99" t="s">
        <v>1218</v>
      </c>
    </row>
    <row r="100" spans="1:6" x14ac:dyDescent="0.25">
      <c r="A100">
        <v>138</v>
      </c>
      <c r="B100" s="3">
        <v>45219</v>
      </c>
      <c r="C100" t="s">
        <v>33</v>
      </c>
      <c r="D100" t="s">
        <v>4</v>
      </c>
      <c r="E100" s="13">
        <v>0.90069444444444446</v>
      </c>
      <c r="F100" t="s">
        <v>1217</v>
      </c>
    </row>
    <row r="101" spans="1:6" x14ac:dyDescent="0.25">
      <c r="A101">
        <v>138</v>
      </c>
      <c r="B101" s="3">
        <v>45233</v>
      </c>
      <c r="C101" t="s">
        <v>33</v>
      </c>
      <c r="D101" t="s">
        <v>4</v>
      </c>
      <c r="E101" s="13">
        <v>0.5625</v>
      </c>
      <c r="F101" t="s">
        <v>1217</v>
      </c>
    </row>
    <row r="102" spans="1:6" x14ac:dyDescent="0.25">
      <c r="A102">
        <v>138</v>
      </c>
      <c r="B102" s="3">
        <v>45240</v>
      </c>
      <c r="C102" t="s">
        <v>33</v>
      </c>
      <c r="D102" t="s">
        <v>4</v>
      </c>
      <c r="E102" s="13">
        <v>0.56944444444444442</v>
      </c>
      <c r="F102" t="s">
        <v>1218</v>
      </c>
    </row>
    <row r="103" spans="1:6" x14ac:dyDescent="0.25">
      <c r="A103">
        <v>138</v>
      </c>
      <c r="B103" s="3">
        <v>45254</v>
      </c>
      <c r="C103" t="s">
        <v>33</v>
      </c>
      <c r="D103" t="s">
        <v>4</v>
      </c>
      <c r="E103" s="13">
        <v>0.5805555555555556</v>
      </c>
      <c r="F103" t="s">
        <v>1218</v>
      </c>
    </row>
    <row r="104" spans="1:6" x14ac:dyDescent="0.25">
      <c r="A104">
        <v>138</v>
      </c>
      <c r="B104" s="3">
        <v>45261</v>
      </c>
      <c r="C104" t="s">
        <v>33</v>
      </c>
      <c r="D104" t="s">
        <v>4</v>
      </c>
      <c r="E104" s="13">
        <v>0.58680555555555558</v>
      </c>
      <c r="F104" t="s">
        <v>1218</v>
      </c>
    </row>
    <row r="105" spans="1:6" x14ac:dyDescent="0.25">
      <c r="A105">
        <v>138</v>
      </c>
      <c r="B105" s="3">
        <v>45282</v>
      </c>
      <c r="C105" t="s">
        <v>33</v>
      </c>
      <c r="D105" t="s">
        <v>4</v>
      </c>
      <c r="E105" s="13">
        <v>0.57916666666666672</v>
      </c>
      <c r="F105" t="s">
        <v>1218</v>
      </c>
    </row>
    <row r="106" spans="1:6" x14ac:dyDescent="0.25">
      <c r="A106">
        <v>139</v>
      </c>
      <c r="B106" s="3">
        <v>45219</v>
      </c>
      <c r="C106" t="s">
        <v>33</v>
      </c>
      <c r="D106" t="s">
        <v>4</v>
      </c>
      <c r="E106" s="13">
        <v>0.89930555555555558</v>
      </c>
      <c r="F106" t="s">
        <v>1217</v>
      </c>
    </row>
    <row r="107" spans="1:6" x14ac:dyDescent="0.25">
      <c r="A107">
        <v>139</v>
      </c>
      <c r="B107" s="3">
        <v>45226</v>
      </c>
      <c r="C107" t="s">
        <v>33</v>
      </c>
      <c r="D107" t="s">
        <v>4</v>
      </c>
      <c r="E107" s="13">
        <v>0.57986111111111116</v>
      </c>
      <c r="F107" t="s">
        <v>1217</v>
      </c>
    </row>
    <row r="108" spans="1:6" x14ac:dyDescent="0.25">
      <c r="A108">
        <v>139</v>
      </c>
      <c r="B108" s="3">
        <v>45233</v>
      </c>
      <c r="C108" t="s">
        <v>33</v>
      </c>
      <c r="D108" t="s">
        <v>4</v>
      </c>
      <c r="E108" s="13">
        <v>0.54791666666666672</v>
      </c>
      <c r="F108" t="s">
        <v>1217</v>
      </c>
    </row>
    <row r="109" spans="1:6" x14ac:dyDescent="0.25">
      <c r="A109">
        <v>139</v>
      </c>
      <c r="B109" s="3">
        <v>45254</v>
      </c>
      <c r="C109" t="s">
        <v>33</v>
      </c>
      <c r="D109" t="s">
        <v>4</v>
      </c>
      <c r="E109" s="13">
        <v>0.53541666666666665</v>
      </c>
      <c r="F109" t="s">
        <v>1217</v>
      </c>
    </row>
    <row r="110" spans="1:6" x14ac:dyDescent="0.25">
      <c r="A110">
        <v>139</v>
      </c>
      <c r="B110" s="3">
        <v>45261</v>
      </c>
      <c r="C110" t="s">
        <v>33</v>
      </c>
      <c r="D110" t="s">
        <v>4</v>
      </c>
      <c r="E110" s="13">
        <v>0.58680555555555558</v>
      </c>
      <c r="F110" t="s">
        <v>1218</v>
      </c>
    </row>
    <row r="111" spans="1:6" x14ac:dyDescent="0.25">
      <c r="A111">
        <v>139</v>
      </c>
      <c r="B111" s="3">
        <v>45268</v>
      </c>
      <c r="C111" t="s">
        <v>33</v>
      </c>
      <c r="D111" t="s">
        <v>4</v>
      </c>
      <c r="E111" s="13">
        <v>0.56111111111111112</v>
      </c>
      <c r="F111" t="s">
        <v>1217</v>
      </c>
    </row>
    <row r="112" spans="1:6" x14ac:dyDescent="0.25">
      <c r="A112">
        <v>139</v>
      </c>
      <c r="B112" s="3">
        <v>45282</v>
      </c>
      <c r="C112" t="s">
        <v>33</v>
      </c>
      <c r="D112" t="s">
        <v>4</v>
      </c>
      <c r="E112" s="13">
        <v>0.55486111111111114</v>
      </c>
      <c r="F112" t="s">
        <v>1217</v>
      </c>
    </row>
    <row r="113" spans="1:6" x14ac:dyDescent="0.25">
      <c r="A113">
        <v>140</v>
      </c>
      <c r="B113" s="3">
        <v>45233</v>
      </c>
      <c r="C113" t="s">
        <v>33</v>
      </c>
      <c r="D113" t="s">
        <v>4</v>
      </c>
      <c r="E113" s="13">
        <v>0.54374999999999996</v>
      </c>
      <c r="F113" t="s">
        <v>1217</v>
      </c>
    </row>
    <row r="114" spans="1:6" x14ac:dyDescent="0.25">
      <c r="A114">
        <v>140</v>
      </c>
      <c r="B114" s="3">
        <v>45254</v>
      </c>
      <c r="C114" t="s">
        <v>33</v>
      </c>
      <c r="D114" t="s">
        <v>4</v>
      </c>
      <c r="E114" s="13">
        <v>0.54791666666666672</v>
      </c>
      <c r="F114" t="s">
        <v>1217</v>
      </c>
    </row>
    <row r="115" spans="1:6" x14ac:dyDescent="0.25">
      <c r="A115">
        <v>140</v>
      </c>
      <c r="B115" s="3">
        <v>45261</v>
      </c>
      <c r="C115" t="s">
        <v>33</v>
      </c>
      <c r="D115" t="s">
        <v>4</v>
      </c>
      <c r="E115" s="13">
        <v>0.54027777777777775</v>
      </c>
      <c r="F115" t="s">
        <v>1217</v>
      </c>
    </row>
    <row r="116" spans="1:6" x14ac:dyDescent="0.25">
      <c r="A116">
        <v>141</v>
      </c>
      <c r="B116" s="3">
        <v>45254</v>
      </c>
      <c r="C116" t="s">
        <v>33</v>
      </c>
      <c r="D116" t="s">
        <v>4</v>
      </c>
      <c r="E116" s="13">
        <v>0.53125</v>
      </c>
      <c r="F116" t="s">
        <v>1217</v>
      </c>
    </row>
    <row r="117" spans="1:6" x14ac:dyDescent="0.25">
      <c r="A117">
        <v>141</v>
      </c>
      <c r="B117" s="3">
        <v>45261</v>
      </c>
      <c r="C117" t="s">
        <v>33</v>
      </c>
      <c r="D117" t="s">
        <v>4</v>
      </c>
      <c r="E117" s="13">
        <v>0.55138888888888893</v>
      </c>
      <c r="F117" t="s">
        <v>1217</v>
      </c>
    </row>
    <row r="118" spans="1:6" x14ac:dyDescent="0.25">
      <c r="A118">
        <v>141</v>
      </c>
      <c r="B118" s="3">
        <v>45268</v>
      </c>
      <c r="C118" t="s">
        <v>33</v>
      </c>
      <c r="D118" t="s">
        <v>4</v>
      </c>
      <c r="E118" s="13">
        <v>0.54027777777777775</v>
      </c>
      <c r="F118" t="s">
        <v>1217</v>
      </c>
    </row>
    <row r="119" spans="1:6" x14ac:dyDescent="0.25">
      <c r="A119">
        <v>141</v>
      </c>
      <c r="B119" s="3">
        <v>45282</v>
      </c>
      <c r="C119" t="s">
        <v>33</v>
      </c>
      <c r="D119" t="s">
        <v>4</v>
      </c>
      <c r="E119" s="13">
        <v>0.53611111111111109</v>
      </c>
      <c r="F119" t="s">
        <v>1217</v>
      </c>
    </row>
    <row r="120" spans="1:6" x14ac:dyDescent="0.25">
      <c r="A120">
        <v>202</v>
      </c>
      <c r="B120" s="3">
        <v>45198</v>
      </c>
      <c r="C120" t="s">
        <v>33</v>
      </c>
      <c r="D120" t="s">
        <v>34</v>
      </c>
      <c r="E120" s="13">
        <v>0.61319444444444449</v>
      </c>
      <c r="F120" t="s">
        <v>1218</v>
      </c>
    </row>
    <row r="121" spans="1:6" x14ac:dyDescent="0.25">
      <c r="A121">
        <v>203</v>
      </c>
      <c r="B121" s="3">
        <v>45198</v>
      </c>
      <c r="C121" t="s">
        <v>33</v>
      </c>
      <c r="D121" t="s">
        <v>34</v>
      </c>
      <c r="E121" s="13">
        <v>0.62152777777777779</v>
      </c>
      <c r="F121" t="s">
        <v>1217</v>
      </c>
    </row>
    <row r="122" spans="1:6" x14ac:dyDescent="0.25">
      <c r="A122">
        <v>203</v>
      </c>
      <c r="B122" s="3">
        <v>45205</v>
      </c>
      <c r="C122" t="s">
        <v>33</v>
      </c>
      <c r="D122" t="s">
        <v>34</v>
      </c>
      <c r="E122" s="13">
        <v>0.62569444444444444</v>
      </c>
      <c r="F122" t="s">
        <v>1217</v>
      </c>
    </row>
    <row r="123" spans="1:6" x14ac:dyDescent="0.25">
      <c r="A123">
        <v>203</v>
      </c>
      <c r="B123" s="3">
        <v>45212</v>
      </c>
      <c r="C123" t="s">
        <v>33</v>
      </c>
      <c r="D123" t="s">
        <v>34</v>
      </c>
      <c r="E123" s="13">
        <v>0.55138888888888893</v>
      </c>
      <c r="F123" t="s">
        <v>1217</v>
      </c>
    </row>
    <row r="124" spans="1:6" x14ac:dyDescent="0.25">
      <c r="A124">
        <v>203</v>
      </c>
      <c r="B124" s="3">
        <v>45219</v>
      </c>
      <c r="C124" t="s">
        <v>33</v>
      </c>
      <c r="D124" t="s">
        <v>34</v>
      </c>
      <c r="E124" s="13">
        <v>0.89930555555555558</v>
      </c>
      <c r="F124" t="s">
        <v>1217</v>
      </c>
    </row>
    <row r="125" spans="1:6" x14ac:dyDescent="0.25">
      <c r="A125">
        <v>203</v>
      </c>
      <c r="B125" s="3">
        <v>45226</v>
      </c>
      <c r="C125" t="s">
        <v>33</v>
      </c>
      <c r="D125" t="s">
        <v>34</v>
      </c>
      <c r="E125" s="13">
        <v>0.62986111111111109</v>
      </c>
      <c r="F125" t="s">
        <v>1217</v>
      </c>
    </row>
    <row r="126" spans="1:6" x14ac:dyDescent="0.25">
      <c r="A126">
        <v>203</v>
      </c>
      <c r="B126" s="3">
        <v>45233</v>
      </c>
      <c r="C126" t="s">
        <v>33</v>
      </c>
      <c r="D126" t="s">
        <v>34</v>
      </c>
      <c r="E126" s="13">
        <v>0.52777777777777779</v>
      </c>
      <c r="F126" t="s">
        <v>1217</v>
      </c>
    </row>
    <row r="127" spans="1:6" x14ac:dyDescent="0.25">
      <c r="A127">
        <v>203</v>
      </c>
      <c r="B127" s="3">
        <v>45240</v>
      </c>
      <c r="C127" t="s">
        <v>33</v>
      </c>
      <c r="D127" t="s">
        <v>34</v>
      </c>
      <c r="E127" s="13">
        <v>0.54722222222222228</v>
      </c>
      <c r="F127" t="s">
        <v>1217</v>
      </c>
    </row>
    <row r="128" spans="1:6" x14ac:dyDescent="0.25">
      <c r="A128">
        <v>203</v>
      </c>
      <c r="B128" s="3">
        <v>45254</v>
      </c>
      <c r="C128" t="s">
        <v>33</v>
      </c>
      <c r="D128" t="s">
        <v>34</v>
      </c>
      <c r="E128" s="13">
        <v>0.53402777777777777</v>
      </c>
      <c r="F128" t="s">
        <v>1217</v>
      </c>
    </row>
    <row r="129" spans="1:6" x14ac:dyDescent="0.25">
      <c r="A129">
        <v>203</v>
      </c>
      <c r="B129" s="3">
        <v>45261</v>
      </c>
      <c r="C129" t="s">
        <v>33</v>
      </c>
      <c r="D129" t="s">
        <v>34</v>
      </c>
      <c r="E129" s="13">
        <v>0.52638888888888891</v>
      </c>
      <c r="F129" t="s">
        <v>1217</v>
      </c>
    </row>
    <row r="130" spans="1:6" x14ac:dyDescent="0.25">
      <c r="A130">
        <v>203</v>
      </c>
      <c r="B130" s="3">
        <v>45268</v>
      </c>
      <c r="C130" t="s">
        <v>33</v>
      </c>
      <c r="D130" t="s">
        <v>34</v>
      </c>
      <c r="E130" s="13">
        <v>0.5444444444444444</v>
      </c>
      <c r="F130" t="s">
        <v>1217</v>
      </c>
    </row>
    <row r="131" spans="1:6" x14ac:dyDescent="0.25">
      <c r="A131">
        <v>203</v>
      </c>
      <c r="B131" s="3">
        <v>45282</v>
      </c>
      <c r="C131" t="s">
        <v>33</v>
      </c>
      <c r="D131" t="s">
        <v>34</v>
      </c>
      <c r="E131" s="13">
        <v>0.53749999999999998</v>
      </c>
      <c r="F131" t="s">
        <v>1217</v>
      </c>
    </row>
    <row r="132" spans="1:6" x14ac:dyDescent="0.25">
      <c r="A132">
        <v>210</v>
      </c>
      <c r="B132" s="3">
        <v>45233</v>
      </c>
      <c r="C132" t="s">
        <v>33</v>
      </c>
      <c r="D132" t="s">
        <v>5</v>
      </c>
      <c r="E132" s="13">
        <v>0.57430555555555551</v>
      </c>
      <c r="F132" t="s">
        <v>1218</v>
      </c>
    </row>
    <row r="133" spans="1:6" x14ac:dyDescent="0.25">
      <c r="A133">
        <v>210</v>
      </c>
      <c r="B133" s="3">
        <v>45240</v>
      </c>
      <c r="C133" t="s">
        <v>33</v>
      </c>
      <c r="D133" t="s">
        <v>5</v>
      </c>
      <c r="E133" s="13">
        <v>0.57499999999999996</v>
      </c>
      <c r="F133" t="s">
        <v>1218</v>
      </c>
    </row>
    <row r="134" spans="1:6" x14ac:dyDescent="0.25">
      <c r="A134">
        <v>211</v>
      </c>
      <c r="B134" s="3">
        <v>45247</v>
      </c>
      <c r="C134" t="s">
        <v>33</v>
      </c>
      <c r="D134" t="s">
        <v>5</v>
      </c>
      <c r="E134" s="13">
        <v>0.55347222222222225</v>
      </c>
      <c r="F134" t="s">
        <v>1217</v>
      </c>
    </row>
    <row r="135" spans="1:6" x14ac:dyDescent="0.25">
      <c r="A135">
        <v>211</v>
      </c>
      <c r="B135" s="3">
        <v>45254</v>
      </c>
      <c r="C135" t="s">
        <v>33</v>
      </c>
      <c r="D135" t="s">
        <v>5</v>
      </c>
      <c r="E135" s="13">
        <v>0.55625000000000002</v>
      </c>
      <c r="F135" t="s">
        <v>1217</v>
      </c>
    </row>
    <row r="136" spans="1:6" x14ac:dyDescent="0.25">
      <c r="A136">
        <v>214</v>
      </c>
      <c r="B136" s="3">
        <v>45240</v>
      </c>
      <c r="C136" t="s">
        <v>33</v>
      </c>
      <c r="D136" t="s">
        <v>5</v>
      </c>
      <c r="E136" s="13">
        <v>0.56111111111111112</v>
      </c>
      <c r="F136" t="s">
        <v>1217</v>
      </c>
    </row>
    <row r="137" spans="1:6" x14ac:dyDescent="0.25">
      <c r="A137">
        <v>214</v>
      </c>
      <c r="B137" s="3">
        <v>45254</v>
      </c>
      <c r="C137" t="s">
        <v>33</v>
      </c>
      <c r="D137" t="s">
        <v>5</v>
      </c>
      <c r="E137" s="13">
        <v>0.55486111111111114</v>
      </c>
      <c r="F137" t="s">
        <v>1217</v>
      </c>
    </row>
    <row r="138" spans="1:6" x14ac:dyDescent="0.25">
      <c r="A138">
        <v>214</v>
      </c>
      <c r="B138" s="3">
        <v>45261</v>
      </c>
      <c r="C138" t="s">
        <v>33</v>
      </c>
      <c r="D138" t="s">
        <v>5</v>
      </c>
      <c r="E138" s="13">
        <v>0.54791666666666672</v>
      </c>
      <c r="F138" t="s">
        <v>1217</v>
      </c>
    </row>
    <row r="139" spans="1:6" x14ac:dyDescent="0.25">
      <c r="A139">
        <v>214</v>
      </c>
      <c r="B139" s="3">
        <v>45268</v>
      </c>
      <c r="C139" t="s">
        <v>33</v>
      </c>
      <c r="D139" t="s">
        <v>5</v>
      </c>
      <c r="E139" s="13">
        <v>0.57361111111111107</v>
      </c>
      <c r="F139" t="s">
        <v>1218</v>
      </c>
    </row>
    <row r="140" spans="1:6" x14ac:dyDescent="0.25">
      <c r="A140">
        <v>214</v>
      </c>
      <c r="B140" s="3">
        <v>45275</v>
      </c>
      <c r="C140" t="s">
        <v>33</v>
      </c>
      <c r="D140" t="s">
        <v>5</v>
      </c>
      <c r="E140" s="13">
        <v>0.58611111111111114</v>
      </c>
      <c r="F140" t="s">
        <v>1218</v>
      </c>
    </row>
    <row r="141" spans="1:6" x14ac:dyDescent="0.25">
      <c r="A141">
        <v>218</v>
      </c>
      <c r="B141" s="3">
        <v>45226</v>
      </c>
      <c r="C141" t="s">
        <v>33</v>
      </c>
      <c r="D141" t="s">
        <v>5</v>
      </c>
      <c r="E141" s="13">
        <v>0.5805555555555556</v>
      </c>
      <c r="F141" t="s">
        <v>1217</v>
      </c>
    </row>
    <row r="142" spans="1:6" x14ac:dyDescent="0.25">
      <c r="A142">
        <v>218</v>
      </c>
      <c r="B142" s="3">
        <v>45233</v>
      </c>
      <c r="C142" t="s">
        <v>33</v>
      </c>
      <c r="D142" t="s">
        <v>5</v>
      </c>
      <c r="E142" s="13">
        <v>0.55000000000000004</v>
      </c>
      <c r="F142" t="s">
        <v>1217</v>
      </c>
    </row>
    <row r="143" spans="1:6" x14ac:dyDescent="0.25">
      <c r="A143">
        <v>218</v>
      </c>
      <c r="B143" s="3">
        <v>45282</v>
      </c>
      <c r="C143" t="s">
        <v>33</v>
      </c>
      <c r="D143" t="s">
        <v>5</v>
      </c>
      <c r="E143" s="13">
        <v>0.57291666666666663</v>
      </c>
      <c r="F143" t="s">
        <v>1218</v>
      </c>
    </row>
    <row r="144" spans="1:6" x14ac:dyDescent="0.25">
      <c r="A144">
        <v>219</v>
      </c>
      <c r="B144" s="3">
        <v>45226</v>
      </c>
      <c r="C144" t="s">
        <v>33</v>
      </c>
      <c r="D144" t="s">
        <v>5</v>
      </c>
      <c r="E144" s="13">
        <v>0.5805555555555556</v>
      </c>
      <c r="F144" t="s">
        <v>1217</v>
      </c>
    </row>
    <row r="145" spans="1:6" x14ac:dyDescent="0.25">
      <c r="A145">
        <v>219</v>
      </c>
      <c r="B145" s="3">
        <v>45254</v>
      </c>
      <c r="C145" t="s">
        <v>33</v>
      </c>
      <c r="D145" t="s">
        <v>5</v>
      </c>
      <c r="E145" s="13">
        <v>0.58472222222222225</v>
      </c>
      <c r="F145" t="s">
        <v>1218</v>
      </c>
    </row>
    <row r="146" spans="1:6" x14ac:dyDescent="0.25">
      <c r="A146">
        <v>219</v>
      </c>
      <c r="B146" s="3">
        <v>45282</v>
      </c>
      <c r="C146" t="s">
        <v>33</v>
      </c>
      <c r="D146" t="s">
        <v>5</v>
      </c>
      <c r="E146" s="13">
        <v>0.57291666666666663</v>
      </c>
      <c r="F146" t="s">
        <v>1218</v>
      </c>
    </row>
    <row r="147" spans="1:6" x14ac:dyDescent="0.25">
      <c r="A147">
        <v>224</v>
      </c>
      <c r="B147" s="3">
        <v>45226</v>
      </c>
      <c r="C147" t="s">
        <v>33</v>
      </c>
      <c r="D147" t="s">
        <v>5</v>
      </c>
      <c r="E147" s="13">
        <v>0.5805555555555556</v>
      </c>
      <c r="F147" t="s">
        <v>1217</v>
      </c>
    </row>
    <row r="148" spans="1:6" x14ac:dyDescent="0.25">
      <c r="A148">
        <v>225</v>
      </c>
      <c r="B148" s="3">
        <v>45240</v>
      </c>
      <c r="C148" t="s">
        <v>33</v>
      </c>
      <c r="D148" t="s">
        <v>5</v>
      </c>
      <c r="E148" s="13">
        <v>0.56944444444444442</v>
      </c>
      <c r="F148" t="s">
        <v>1218</v>
      </c>
    </row>
    <row r="149" spans="1:6" x14ac:dyDescent="0.25">
      <c r="A149">
        <v>225</v>
      </c>
      <c r="B149" s="3">
        <v>45282</v>
      </c>
      <c r="C149" t="s">
        <v>33</v>
      </c>
      <c r="D149" t="s">
        <v>5</v>
      </c>
      <c r="E149" s="13">
        <v>0.56388888888888888</v>
      </c>
      <c r="F149" t="s">
        <v>1218</v>
      </c>
    </row>
    <row r="150" spans="1:6" x14ac:dyDescent="0.25">
      <c r="A150">
        <v>229</v>
      </c>
      <c r="B150" s="3">
        <v>45247</v>
      </c>
      <c r="C150" t="s">
        <v>33</v>
      </c>
      <c r="D150" t="s">
        <v>5</v>
      </c>
      <c r="E150" s="13">
        <v>0.56458333333333333</v>
      </c>
      <c r="F150" t="s">
        <v>1218</v>
      </c>
    </row>
    <row r="151" spans="1:6" x14ac:dyDescent="0.25">
      <c r="A151">
        <v>229</v>
      </c>
      <c r="B151" s="3">
        <v>45261</v>
      </c>
      <c r="C151" t="s">
        <v>33</v>
      </c>
      <c r="D151" t="s">
        <v>5</v>
      </c>
      <c r="E151" s="13">
        <v>0.53541666666666665</v>
      </c>
      <c r="F151" t="s">
        <v>1218</v>
      </c>
    </row>
    <row r="152" spans="1:6" x14ac:dyDescent="0.25">
      <c r="A152">
        <v>229</v>
      </c>
      <c r="B152" s="3">
        <v>45282</v>
      </c>
      <c r="C152" t="s">
        <v>33</v>
      </c>
      <c r="D152" t="s">
        <v>5</v>
      </c>
      <c r="E152" s="13">
        <v>0.53819444444444442</v>
      </c>
      <c r="F152" t="s">
        <v>1217</v>
      </c>
    </row>
    <row r="153" spans="1:6" x14ac:dyDescent="0.25">
      <c r="A153">
        <v>231</v>
      </c>
      <c r="B153" s="3">
        <v>45268</v>
      </c>
      <c r="C153" t="s">
        <v>33</v>
      </c>
      <c r="D153" t="s">
        <v>5</v>
      </c>
      <c r="E153" s="13">
        <v>0.58194444444444449</v>
      </c>
      <c r="F153" t="s">
        <v>1218</v>
      </c>
    </row>
    <row r="154" spans="1:6" x14ac:dyDescent="0.25">
      <c r="A154">
        <v>231</v>
      </c>
      <c r="B154" s="3">
        <v>45282</v>
      </c>
      <c r="C154" t="s">
        <v>33</v>
      </c>
      <c r="D154" t="s">
        <v>5</v>
      </c>
      <c r="E154" s="13">
        <v>0.56527777777777777</v>
      </c>
      <c r="F154" t="s">
        <v>1218</v>
      </c>
    </row>
    <row r="155" spans="1:6" x14ac:dyDescent="0.25">
      <c r="A155">
        <v>232</v>
      </c>
      <c r="B155" s="3">
        <v>45219</v>
      </c>
      <c r="C155" t="s">
        <v>33</v>
      </c>
      <c r="D155" t="s">
        <v>5</v>
      </c>
      <c r="E155" s="13">
        <v>0.9</v>
      </c>
      <c r="F155" t="s">
        <v>1217</v>
      </c>
    </row>
    <row r="156" spans="1:6" x14ac:dyDescent="0.25">
      <c r="A156">
        <v>232</v>
      </c>
      <c r="B156" s="3">
        <v>45254</v>
      </c>
      <c r="C156" t="s">
        <v>33</v>
      </c>
      <c r="D156" t="s">
        <v>5</v>
      </c>
      <c r="E156" s="13">
        <v>0.56944444444444442</v>
      </c>
      <c r="F156" t="s">
        <v>1218</v>
      </c>
    </row>
    <row r="157" spans="1:6" x14ac:dyDescent="0.25">
      <c r="A157">
        <v>232</v>
      </c>
      <c r="B157" s="3">
        <v>45261</v>
      </c>
      <c r="C157" t="s">
        <v>33</v>
      </c>
      <c r="D157" t="s">
        <v>5</v>
      </c>
      <c r="E157" s="13">
        <v>0.56944444444444442</v>
      </c>
      <c r="F157" t="s">
        <v>1218</v>
      </c>
    </row>
    <row r="158" spans="1:6" x14ac:dyDescent="0.25">
      <c r="A158">
        <v>234</v>
      </c>
      <c r="B158" s="3">
        <v>45247</v>
      </c>
      <c r="C158" t="s">
        <v>33</v>
      </c>
      <c r="D158" t="s">
        <v>5</v>
      </c>
      <c r="E158" s="13">
        <v>0.56388888888888888</v>
      </c>
      <c r="F158" t="s">
        <v>1218</v>
      </c>
    </row>
    <row r="159" spans="1:6" x14ac:dyDescent="0.25">
      <c r="A159">
        <v>234</v>
      </c>
      <c r="B159" s="3">
        <v>45254</v>
      </c>
      <c r="C159" t="s">
        <v>33</v>
      </c>
      <c r="D159" t="s">
        <v>5</v>
      </c>
      <c r="E159" s="13">
        <v>0.61736111111111114</v>
      </c>
      <c r="F159" t="s">
        <v>1218</v>
      </c>
    </row>
    <row r="160" spans="1:6" x14ac:dyDescent="0.25">
      <c r="A160">
        <v>234</v>
      </c>
      <c r="B160" s="3">
        <v>45268</v>
      </c>
      <c r="C160" t="s">
        <v>33</v>
      </c>
      <c r="D160" t="s">
        <v>5</v>
      </c>
      <c r="E160" s="13">
        <v>0.57499999999999996</v>
      </c>
      <c r="F160" t="s">
        <v>1217</v>
      </c>
    </row>
    <row r="161" spans="1:6" x14ac:dyDescent="0.25">
      <c r="A161">
        <v>234</v>
      </c>
      <c r="B161" s="3">
        <v>45282</v>
      </c>
      <c r="C161" t="s">
        <v>33</v>
      </c>
      <c r="D161" t="s">
        <v>5</v>
      </c>
      <c r="E161" s="13">
        <v>0.55694444444444446</v>
      </c>
      <c r="F161" t="s">
        <v>1217</v>
      </c>
    </row>
    <row r="162" spans="1:6" x14ac:dyDescent="0.25">
      <c r="A162">
        <v>236</v>
      </c>
      <c r="B162" s="3">
        <v>45247</v>
      </c>
      <c r="C162" t="s">
        <v>33</v>
      </c>
      <c r="D162" t="s">
        <v>5</v>
      </c>
      <c r="E162" s="13">
        <v>0.55277777777777781</v>
      </c>
      <c r="F162" t="s">
        <v>1217</v>
      </c>
    </row>
    <row r="163" spans="1:6" x14ac:dyDescent="0.25">
      <c r="A163">
        <v>236</v>
      </c>
      <c r="B163" s="3">
        <v>45254</v>
      </c>
      <c r="C163" t="s">
        <v>33</v>
      </c>
      <c r="D163" t="s">
        <v>5</v>
      </c>
      <c r="E163" s="13">
        <v>0.55347222222222225</v>
      </c>
      <c r="F163" t="s">
        <v>1217</v>
      </c>
    </row>
    <row r="164" spans="1:6" x14ac:dyDescent="0.25">
      <c r="A164">
        <v>243</v>
      </c>
      <c r="B164" s="3">
        <v>45233</v>
      </c>
      <c r="C164" t="s">
        <v>33</v>
      </c>
      <c r="D164" t="s">
        <v>5</v>
      </c>
      <c r="E164" s="13">
        <v>0.54861111111111116</v>
      </c>
      <c r="F164" t="s">
        <v>1217</v>
      </c>
    </row>
    <row r="165" spans="1:6" x14ac:dyDescent="0.25">
      <c r="A165">
        <v>245</v>
      </c>
      <c r="B165" s="3">
        <v>45226</v>
      </c>
      <c r="C165" t="s">
        <v>33</v>
      </c>
      <c r="D165" t="s">
        <v>5</v>
      </c>
      <c r="E165" s="13">
        <v>0.58125000000000004</v>
      </c>
      <c r="F165" t="s">
        <v>1217</v>
      </c>
    </row>
    <row r="166" spans="1:6" x14ac:dyDescent="0.25">
      <c r="A166">
        <v>245</v>
      </c>
      <c r="B166" s="3">
        <v>45282</v>
      </c>
      <c r="C166" t="s">
        <v>33</v>
      </c>
      <c r="D166" t="s">
        <v>5</v>
      </c>
      <c r="E166" s="13">
        <v>0.54027777777777775</v>
      </c>
      <c r="F166" t="s">
        <v>1217</v>
      </c>
    </row>
    <row r="167" spans="1:6" x14ac:dyDescent="0.25">
      <c r="A167">
        <v>246</v>
      </c>
      <c r="B167" s="3">
        <v>45233</v>
      </c>
      <c r="C167" t="s">
        <v>33</v>
      </c>
      <c r="D167" t="s">
        <v>5</v>
      </c>
      <c r="E167" s="13">
        <v>0.52916666666666667</v>
      </c>
      <c r="F167" t="s">
        <v>1217</v>
      </c>
    </row>
    <row r="168" spans="1:6" x14ac:dyDescent="0.25">
      <c r="A168">
        <v>246</v>
      </c>
      <c r="B168" s="3">
        <v>45261</v>
      </c>
      <c r="C168" t="s">
        <v>33</v>
      </c>
      <c r="D168" t="s">
        <v>5</v>
      </c>
      <c r="E168" s="13">
        <v>0.55833333333333335</v>
      </c>
      <c r="F168" t="s">
        <v>1217</v>
      </c>
    </row>
    <row r="169" spans="1:6" x14ac:dyDescent="0.25">
      <c r="A169">
        <v>247</v>
      </c>
      <c r="B169" s="3">
        <v>45233</v>
      </c>
      <c r="C169" t="s">
        <v>33</v>
      </c>
      <c r="D169" t="s">
        <v>5</v>
      </c>
      <c r="E169" s="13">
        <v>0.53541666666666665</v>
      </c>
      <c r="F169" t="s">
        <v>1217</v>
      </c>
    </row>
    <row r="170" spans="1:6" x14ac:dyDescent="0.25">
      <c r="A170">
        <v>247</v>
      </c>
      <c r="B170" s="3">
        <v>45261</v>
      </c>
      <c r="C170" t="s">
        <v>33</v>
      </c>
      <c r="D170" t="s">
        <v>5</v>
      </c>
      <c r="E170" s="13">
        <v>0.54166666666666663</v>
      </c>
      <c r="F170" t="s">
        <v>1217</v>
      </c>
    </row>
    <row r="171" spans="1:6" x14ac:dyDescent="0.25">
      <c r="A171">
        <v>248</v>
      </c>
      <c r="B171" s="3">
        <v>45233</v>
      </c>
      <c r="C171" t="s">
        <v>33</v>
      </c>
      <c r="D171" t="s">
        <v>5</v>
      </c>
      <c r="E171" s="13">
        <v>0.53611111111111109</v>
      </c>
      <c r="F171" t="s">
        <v>1217</v>
      </c>
    </row>
    <row r="172" spans="1:6" x14ac:dyDescent="0.25">
      <c r="A172">
        <v>248</v>
      </c>
      <c r="B172" s="3">
        <v>45261</v>
      </c>
      <c r="C172" t="s">
        <v>33</v>
      </c>
      <c r="D172" t="s">
        <v>5</v>
      </c>
      <c r="E172" s="13">
        <v>0.55833333333333335</v>
      </c>
      <c r="F172" t="s">
        <v>1217</v>
      </c>
    </row>
    <row r="173" spans="1:6" x14ac:dyDescent="0.25">
      <c r="A173">
        <v>249</v>
      </c>
      <c r="B173" s="3">
        <v>45233</v>
      </c>
      <c r="C173" t="s">
        <v>33</v>
      </c>
      <c r="D173" t="s">
        <v>5</v>
      </c>
      <c r="E173" s="13">
        <v>0.57777777777777772</v>
      </c>
      <c r="F173" t="s">
        <v>1218</v>
      </c>
    </row>
    <row r="174" spans="1:6" x14ac:dyDescent="0.25">
      <c r="A174">
        <v>250</v>
      </c>
      <c r="B174" s="3">
        <v>45240</v>
      </c>
      <c r="C174" t="s">
        <v>33</v>
      </c>
      <c r="D174" t="s">
        <v>5</v>
      </c>
      <c r="E174" s="13">
        <v>0.56458333333333333</v>
      </c>
      <c r="F174" t="s">
        <v>1218</v>
      </c>
    </row>
    <row r="175" spans="1:6" x14ac:dyDescent="0.25">
      <c r="A175">
        <v>251</v>
      </c>
      <c r="B175" s="3">
        <v>45240</v>
      </c>
      <c r="C175" t="s">
        <v>33</v>
      </c>
      <c r="D175" t="s">
        <v>5</v>
      </c>
      <c r="E175" s="13">
        <v>0.5854166666666667</v>
      </c>
      <c r="F175" t="s">
        <v>1218</v>
      </c>
    </row>
    <row r="176" spans="1:6" x14ac:dyDescent="0.25">
      <c r="A176">
        <v>251</v>
      </c>
      <c r="B176" s="3">
        <v>45254</v>
      </c>
      <c r="C176" t="s">
        <v>33</v>
      </c>
      <c r="D176" t="s">
        <v>5</v>
      </c>
      <c r="E176" s="13">
        <v>0.55625000000000002</v>
      </c>
      <c r="F176" t="s">
        <v>1217</v>
      </c>
    </row>
    <row r="177" spans="1:6" x14ac:dyDescent="0.25">
      <c r="A177">
        <v>251</v>
      </c>
      <c r="B177" s="3">
        <v>45282</v>
      </c>
      <c r="C177" t="s">
        <v>33</v>
      </c>
      <c r="D177" t="s">
        <v>5</v>
      </c>
      <c r="E177" s="13">
        <v>0.57708333333333328</v>
      </c>
      <c r="F177" t="s">
        <v>1218</v>
      </c>
    </row>
    <row r="178" spans="1:6" x14ac:dyDescent="0.25">
      <c r="A178">
        <v>254</v>
      </c>
      <c r="B178" s="3">
        <v>45254</v>
      </c>
      <c r="C178" t="s">
        <v>33</v>
      </c>
      <c r="D178" t="s">
        <v>5</v>
      </c>
      <c r="E178" s="13">
        <v>0.55138888888888893</v>
      </c>
      <c r="F178" t="s">
        <v>1217</v>
      </c>
    </row>
    <row r="179" spans="1:6" x14ac:dyDescent="0.25">
      <c r="A179">
        <v>255</v>
      </c>
      <c r="B179" s="3">
        <v>45254</v>
      </c>
      <c r="C179" t="s">
        <v>33</v>
      </c>
      <c r="D179" t="s">
        <v>5</v>
      </c>
      <c r="E179" s="13">
        <v>0.55486111111111114</v>
      </c>
      <c r="F179" t="s">
        <v>1217</v>
      </c>
    </row>
    <row r="180" spans="1:6" x14ac:dyDescent="0.25">
      <c r="A180">
        <v>256</v>
      </c>
      <c r="B180" s="3">
        <v>45261</v>
      </c>
      <c r="C180" t="s">
        <v>33</v>
      </c>
      <c r="D180" t="s">
        <v>5</v>
      </c>
      <c r="E180" s="13">
        <v>0.56805555555555554</v>
      </c>
      <c r="F180" t="s">
        <v>1218</v>
      </c>
    </row>
    <row r="181" spans="1:6" x14ac:dyDescent="0.25">
      <c r="A181">
        <v>256</v>
      </c>
      <c r="B181" s="3">
        <v>45268</v>
      </c>
      <c r="C181" t="s">
        <v>33</v>
      </c>
      <c r="D181" t="s">
        <v>5</v>
      </c>
      <c r="E181" s="13">
        <v>0.57013888888888886</v>
      </c>
      <c r="F181" t="s">
        <v>1218</v>
      </c>
    </row>
    <row r="182" spans="1:6" x14ac:dyDescent="0.25">
      <c r="A182">
        <v>256</v>
      </c>
      <c r="B182" s="3">
        <v>45282</v>
      </c>
      <c r="C182" t="s">
        <v>33</v>
      </c>
      <c r="D182" t="s">
        <v>5</v>
      </c>
      <c r="E182" s="13">
        <v>0.55069444444444449</v>
      </c>
      <c r="F182" t="s">
        <v>1217</v>
      </c>
    </row>
    <row r="183" spans="1:6" x14ac:dyDescent="0.25">
      <c r="A183">
        <v>257</v>
      </c>
      <c r="B183" s="3">
        <v>45261</v>
      </c>
      <c r="C183" t="s">
        <v>33</v>
      </c>
      <c r="D183" t="s">
        <v>5</v>
      </c>
      <c r="E183" s="13">
        <v>0.56874999999999998</v>
      </c>
      <c r="F183" t="s">
        <v>1218</v>
      </c>
    </row>
    <row r="184" spans="1:6" x14ac:dyDescent="0.25">
      <c r="A184">
        <v>303</v>
      </c>
      <c r="B184" s="3">
        <v>45198</v>
      </c>
      <c r="C184" t="s">
        <v>33</v>
      </c>
      <c r="D184" t="s">
        <v>34</v>
      </c>
      <c r="E184" s="13">
        <v>0.62083333333333335</v>
      </c>
      <c r="F184" t="s">
        <v>1218</v>
      </c>
    </row>
    <row r="185" spans="1:6" x14ac:dyDescent="0.25">
      <c r="A185">
        <v>303</v>
      </c>
      <c r="B185" s="3">
        <v>45205</v>
      </c>
      <c r="C185" t="s">
        <v>33</v>
      </c>
      <c r="D185" t="s">
        <v>34</v>
      </c>
      <c r="E185" s="13">
        <v>0.62569444444444444</v>
      </c>
      <c r="F185" t="s">
        <v>1217</v>
      </c>
    </row>
    <row r="186" spans="1:6" x14ac:dyDescent="0.25">
      <c r="A186">
        <v>303</v>
      </c>
      <c r="B186" s="3">
        <v>45212</v>
      </c>
      <c r="C186" t="s">
        <v>33</v>
      </c>
      <c r="D186" t="s">
        <v>34</v>
      </c>
      <c r="E186" s="13">
        <v>0.6020833333333333</v>
      </c>
      <c r="F186" t="s">
        <v>1218</v>
      </c>
    </row>
    <row r="187" spans="1:6" x14ac:dyDescent="0.25">
      <c r="A187">
        <v>303</v>
      </c>
      <c r="B187" s="3">
        <v>45219</v>
      </c>
      <c r="C187" t="s">
        <v>33</v>
      </c>
      <c r="D187" t="s">
        <v>34</v>
      </c>
      <c r="E187" s="13">
        <v>0.9</v>
      </c>
      <c r="F187" t="s">
        <v>1217</v>
      </c>
    </row>
    <row r="188" spans="1:6" x14ac:dyDescent="0.25">
      <c r="A188">
        <v>303</v>
      </c>
      <c r="B188" s="3">
        <v>45226</v>
      </c>
      <c r="C188" t="s">
        <v>33</v>
      </c>
      <c r="D188" t="s">
        <v>34</v>
      </c>
      <c r="E188" s="13">
        <v>0.62986111111111109</v>
      </c>
      <c r="F188" t="s">
        <v>1217</v>
      </c>
    </row>
    <row r="189" spans="1:6" x14ac:dyDescent="0.25">
      <c r="A189">
        <v>303</v>
      </c>
      <c r="B189" s="3">
        <v>45233</v>
      </c>
      <c r="C189" t="s">
        <v>33</v>
      </c>
      <c r="D189" t="s">
        <v>34</v>
      </c>
      <c r="E189" s="13">
        <v>0.54722222222222228</v>
      </c>
      <c r="F189" t="s">
        <v>1217</v>
      </c>
    </row>
    <row r="190" spans="1:6" x14ac:dyDescent="0.25">
      <c r="A190">
        <v>303</v>
      </c>
      <c r="B190" s="3">
        <v>45240</v>
      </c>
      <c r="C190" t="s">
        <v>33</v>
      </c>
      <c r="D190" t="s">
        <v>34</v>
      </c>
      <c r="E190" s="13">
        <v>0.55763888888888891</v>
      </c>
      <c r="F190" t="s">
        <v>1217</v>
      </c>
    </row>
    <row r="191" spans="1:6" x14ac:dyDescent="0.25">
      <c r="A191">
        <v>303</v>
      </c>
      <c r="B191" s="3">
        <v>45261</v>
      </c>
      <c r="C191" t="s">
        <v>33</v>
      </c>
      <c r="D191" t="s">
        <v>34</v>
      </c>
      <c r="E191" s="13">
        <v>0.55763888888888891</v>
      </c>
      <c r="F191" t="s">
        <v>1218</v>
      </c>
    </row>
    <row r="192" spans="1:6" x14ac:dyDescent="0.25">
      <c r="A192">
        <v>303</v>
      </c>
      <c r="B192" s="3">
        <v>45268</v>
      </c>
      <c r="C192" t="s">
        <v>33</v>
      </c>
      <c r="D192" t="s">
        <v>34</v>
      </c>
      <c r="E192" s="13">
        <v>0.57430555555555551</v>
      </c>
      <c r="F192" t="s">
        <v>1218</v>
      </c>
    </row>
    <row r="193" spans="1:6" x14ac:dyDescent="0.25">
      <c r="A193">
        <v>304</v>
      </c>
      <c r="B193" s="3">
        <v>45198</v>
      </c>
      <c r="C193" t="s">
        <v>33</v>
      </c>
      <c r="D193" t="s">
        <v>34</v>
      </c>
      <c r="E193" s="13">
        <v>0.62083333333333335</v>
      </c>
      <c r="F193" t="s">
        <v>1217</v>
      </c>
    </row>
    <row r="194" spans="1:6" x14ac:dyDescent="0.25">
      <c r="A194">
        <v>304</v>
      </c>
      <c r="B194" s="3">
        <v>45205</v>
      </c>
      <c r="C194" t="s">
        <v>33</v>
      </c>
      <c r="D194" t="s">
        <v>34</v>
      </c>
      <c r="E194" s="13">
        <v>0.625</v>
      </c>
      <c r="F194" t="s">
        <v>1217</v>
      </c>
    </row>
    <row r="195" spans="1:6" x14ac:dyDescent="0.25">
      <c r="A195">
        <v>304</v>
      </c>
      <c r="B195" s="3">
        <v>45212</v>
      </c>
      <c r="C195" t="s">
        <v>33</v>
      </c>
      <c r="D195" t="s">
        <v>34</v>
      </c>
      <c r="E195" s="13">
        <v>0.55138888888888893</v>
      </c>
      <c r="F195" t="s">
        <v>1217</v>
      </c>
    </row>
    <row r="196" spans="1:6" x14ac:dyDescent="0.25">
      <c r="A196">
        <v>304</v>
      </c>
      <c r="B196" s="3">
        <v>45219</v>
      </c>
      <c r="C196" t="s">
        <v>33</v>
      </c>
      <c r="D196" t="s">
        <v>34</v>
      </c>
      <c r="E196" s="13">
        <v>0.9</v>
      </c>
      <c r="F196" t="s">
        <v>1217</v>
      </c>
    </row>
    <row r="197" spans="1:6" x14ac:dyDescent="0.25">
      <c r="A197">
        <v>304</v>
      </c>
      <c r="B197" s="3">
        <v>45226</v>
      </c>
      <c r="C197" t="s">
        <v>33</v>
      </c>
      <c r="D197" t="s">
        <v>34</v>
      </c>
      <c r="E197" s="13">
        <v>0.62986111111111109</v>
      </c>
      <c r="F197" t="s">
        <v>1217</v>
      </c>
    </row>
    <row r="198" spans="1:6" x14ac:dyDescent="0.25">
      <c r="A198">
        <v>304</v>
      </c>
      <c r="B198" s="3">
        <v>45233</v>
      </c>
      <c r="C198" t="s">
        <v>33</v>
      </c>
      <c r="D198" t="s">
        <v>34</v>
      </c>
      <c r="E198" s="13">
        <v>0.52708333333333335</v>
      </c>
      <c r="F198" t="s">
        <v>1217</v>
      </c>
    </row>
    <row r="199" spans="1:6" x14ac:dyDescent="0.25">
      <c r="A199">
        <v>304</v>
      </c>
      <c r="B199" s="3">
        <v>45240</v>
      </c>
      <c r="C199" t="s">
        <v>33</v>
      </c>
      <c r="D199" t="s">
        <v>34</v>
      </c>
      <c r="E199" s="13">
        <v>0.55486111111111114</v>
      </c>
      <c r="F199" t="s">
        <v>1217</v>
      </c>
    </row>
    <row r="200" spans="1:6" x14ac:dyDescent="0.25">
      <c r="A200">
        <v>304</v>
      </c>
      <c r="B200" s="3">
        <v>45254</v>
      </c>
      <c r="C200" t="s">
        <v>33</v>
      </c>
      <c r="D200" t="s">
        <v>34</v>
      </c>
      <c r="E200" s="13">
        <v>0.5395833333333333</v>
      </c>
      <c r="F200" t="s">
        <v>1217</v>
      </c>
    </row>
    <row r="201" spans="1:6" x14ac:dyDescent="0.25">
      <c r="A201">
        <v>304</v>
      </c>
      <c r="B201" s="3">
        <v>45261</v>
      </c>
      <c r="C201" t="s">
        <v>33</v>
      </c>
      <c r="D201" t="s">
        <v>34</v>
      </c>
      <c r="E201" s="13">
        <v>0.53680555555555554</v>
      </c>
      <c r="F201" t="s">
        <v>1217</v>
      </c>
    </row>
    <row r="202" spans="1:6" x14ac:dyDescent="0.25">
      <c r="A202">
        <v>304</v>
      </c>
      <c r="B202" s="3">
        <v>45275</v>
      </c>
      <c r="C202" t="s">
        <v>33</v>
      </c>
      <c r="D202" t="s">
        <v>34</v>
      </c>
      <c r="E202" s="13">
        <v>0.54513888888888884</v>
      </c>
      <c r="F202" t="s">
        <v>1217</v>
      </c>
    </row>
    <row r="203" spans="1:6" x14ac:dyDescent="0.25">
      <c r="A203">
        <v>304</v>
      </c>
      <c r="B203" s="3">
        <v>45282</v>
      </c>
      <c r="C203" t="s">
        <v>33</v>
      </c>
      <c r="D203" t="s">
        <v>34</v>
      </c>
      <c r="E203" s="13">
        <v>0.53819444444444442</v>
      </c>
      <c r="F203" t="s">
        <v>1217</v>
      </c>
    </row>
    <row r="204" spans="1:6" x14ac:dyDescent="0.25">
      <c r="A204">
        <v>310</v>
      </c>
      <c r="B204" s="3">
        <v>45226</v>
      </c>
      <c r="C204" t="s">
        <v>33</v>
      </c>
      <c r="D204" t="s">
        <v>6</v>
      </c>
      <c r="E204" s="13">
        <v>0.57708333333333328</v>
      </c>
      <c r="F204" t="s">
        <v>1217</v>
      </c>
    </row>
    <row r="205" spans="1:6" x14ac:dyDescent="0.25">
      <c r="A205">
        <v>310</v>
      </c>
      <c r="B205" s="3">
        <v>45261</v>
      </c>
      <c r="C205" t="s">
        <v>33</v>
      </c>
      <c r="D205" t="s">
        <v>6</v>
      </c>
      <c r="E205" s="13">
        <v>0.56319444444444444</v>
      </c>
      <c r="F205" t="s">
        <v>1218</v>
      </c>
    </row>
    <row r="206" spans="1:6" x14ac:dyDescent="0.25">
      <c r="A206">
        <v>312</v>
      </c>
      <c r="B206" s="3">
        <v>45240</v>
      </c>
      <c r="C206" t="s">
        <v>33</v>
      </c>
      <c r="D206" t="s">
        <v>6</v>
      </c>
      <c r="E206" s="13">
        <v>0.56180555555555556</v>
      </c>
      <c r="F206" t="s">
        <v>1217</v>
      </c>
    </row>
    <row r="207" spans="1:6" x14ac:dyDescent="0.25">
      <c r="A207">
        <v>312</v>
      </c>
      <c r="B207" s="3">
        <v>45261</v>
      </c>
      <c r="C207" t="s">
        <v>33</v>
      </c>
      <c r="D207" t="s">
        <v>6</v>
      </c>
      <c r="E207" s="13">
        <v>0.57430555555555551</v>
      </c>
      <c r="F207" t="s">
        <v>1218</v>
      </c>
    </row>
    <row r="208" spans="1:6" x14ac:dyDescent="0.25">
      <c r="A208">
        <v>317</v>
      </c>
      <c r="B208" s="3">
        <v>45219</v>
      </c>
      <c r="C208" t="s">
        <v>33</v>
      </c>
      <c r="D208" t="s">
        <v>6</v>
      </c>
      <c r="E208" s="13">
        <v>0.89930555555555558</v>
      </c>
      <c r="F208" t="s">
        <v>1217</v>
      </c>
    </row>
    <row r="209" spans="1:6" x14ac:dyDescent="0.25">
      <c r="A209">
        <v>317</v>
      </c>
      <c r="B209" s="3">
        <v>45226</v>
      </c>
      <c r="C209" t="s">
        <v>33</v>
      </c>
      <c r="D209" t="s">
        <v>6</v>
      </c>
      <c r="E209" s="13">
        <v>0.57708333333333328</v>
      </c>
      <c r="F209" t="s">
        <v>1217</v>
      </c>
    </row>
    <row r="210" spans="1:6" x14ac:dyDescent="0.25">
      <c r="A210">
        <v>317</v>
      </c>
      <c r="B210" s="3">
        <v>45233</v>
      </c>
      <c r="C210" t="s">
        <v>33</v>
      </c>
      <c r="D210" t="s">
        <v>6</v>
      </c>
      <c r="E210" s="13">
        <v>0.56736111111111109</v>
      </c>
      <c r="F210" t="s">
        <v>1218</v>
      </c>
    </row>
    <row r="211" spans="1:6" x14ac:dyDescent="0.25">
      <c r="A211">
        <v>317</v>
      </c>
      <c r="B211" s="3">
        <v>45254</v>
      </c>
      <c r="C211" t="s">
        <v>33</v>
      </c>
      <c r="D211" t="s">
        <v>6</v>
      </c>
      <c r="E211" s="13">
        <v>0.59305555555555556</v>
      </c>
      <c r="F211" t="s">
        <v>1218</v>
      </c>
    </row>
    <row r="212" spans="1:6" x14ac:dyDescent="0.25">
      <c r="A212">
        <v>317</v>
      </c>
      <c r="B212" s="3">
        <v>45261</v>
      </c>
      <c r="C212" t="s">
        <v>33</v>
      </c>
      <c r="D212" t="s">
        <v>6</v>
      </c>
      <c r="E212" s="13">
        <v>0.5756944444444444</v>
      </c>
      <c r="F212" t="s">
        <v>1218</v>
      </c>
    </row>
    <row r="213" spans="1:6" x14ac:dyDescent="0.25">
      <c r="A213">
        <v>317</v>
      </c>
      <c r="B213" s="3">
        <v>45268</v>
      </c>
      <c r="C213" t="s">
        <v>33</v>
      </c>
      <c r="D213" t="s">
        <v>6</v>
      </c>
      <c r="E213" s="13">
        <v>0.57013888888888886</v>
      </c>
      <c r="F213" t="s">
        <v>1218</v>
      </c>
    </row>
    <row r="214" spans="1:6" x14ac:dyDescent="0.25">
      <c r="A214">
        <v>318</v>
      </c>
      <c r="B214" s="3">
        <v>45275</v>
      </c>
      <c r="C214" t="s">
        <v>33</v>
      </c>
      <c r="D214" t="s">
        <v>6</v>
      </c>
      <c r="E214" s="13">
        <v>0.55138888888888893</v>
      </c>
      <c r="F214" t="s">
        <v>1217</v>
      </c>
    </row>
    <row r="215" spans="1:6" x14ac:dyDescent="0.25">
      <c r="A215">
        <v>323</v>
      </c>
      <c r="B215" s="3">
        <v>45219</v>
      </c>
      <c r="C215" t="s">
        <v>33</v>
      </c>
      <c r="D215" t="s">
        <v>6</v>
      </c>
      <c r="E215" s="13">
        <v>0.89930555555555558</v>
      </c>
      <c r="F215" t="s">
        <v>1217</v>
      </c>
    </row>
    <row r="216" spans="1:6" x14ac:dyDescent="0.25">
      <c r="A216">
        <v>323</v>
      </c>
      <c r="B216" s="3">
        <v>45233</v>
      </c>
      <c r="C216" t="s">
        <v>33</v>
      </c>
      <c r="D216" t="s">
        <v>6</v>
      </c>
      <c r="E216" s="13">
        <v>0.53055555555555556</v>
      </c>
      <c r="F216" t="s">
        <v>1217</v>
      </c>
    </row>
    <row r="217" spans="1:6" x14ac:dyDescent="0.25">
      <c r="A217">
        <v>323</v>
      </c>
      <c r="B217" s="3">
        <v>45240</v>
      </c>
      <c r="C217" t="s">
        <v>33</v>
      </c>
      <c r="D217" t="s">
        <v>6</v>
      </c>
      <c r="E217" s="13">
        <v>0.55763888888888891</v>
      </c>
      <c r="F217" t="s">
        <v>1217</v>
      </c>
    </row>
    <row r="218" spans="1:6" x14ac:dyDescent="0.25">
      <c r="A218">
        <v>324</v>
      </c>
      <c r="B218" s="3">
        <v>45226</v>
      </c>
      <c r="C218" t="s">
        <v>33</v>
      </c>
      <c r="D218" t="s">
        <v>6</v>
      </c>
      <c r="E218" s="13">
        <v>0.57499999999999996</v>
      </c>
      <c r="F218" t="s">
        <v>1217</v>
      </c>
    </row>
    <row r="219" spans="1:6" x14ac:dyDescent="0.25">
      <c r="A219">
        <v>325</v>
      </c>
      <c r="B219" s="3">
        <v>45219</v>
      </c>
      <c r="C219" t="s">
        <v>33</v>
      </c>
      <c r="D219" t="s">
        <v>6</v>
      </c>
      <c r="E219" s="13">
        <v>0.9</v>
      </c>
      <c r="F219" t="s">
        <v>1217</v>
      </c>
    </row>
    <row r="220" spans="1:6" x14ac:dyDescent="0.25">
      <c r="A220">
        <v>325</v>
      </c>
      <c r="B220" s="3">
        <v>45226</v>
      </c>
      <c r="C220" t="s">
        <v>33</v>
      </c>
      <c r="D220" t="s">
        <v>6</v>
      </c>
      <c r="E220" s="13">
        <v>0.60138888888888886</v>
      </c>
      <c r="F220" t="s">
        <v>1217</v>
      </c>
    </row>
    <row r="221" spans="1:6" x14ac:dyDescent="0.25">
      <c r="A221">
        <v>325</v>
      </c>
      <c r="B221" s="3">
        <v>45233</v>
      </c>
      <c r="C221" t="s">
        <v>33</v>
      </c>
      <c r="D221" t="s">
        <v>6</v>
      </c>
      <c r="E221" s="13">
        <v>0.55902777777777779</v>
      </c>
      <c r="F221" t="s">
        <v>1217</v>
      </c>
    </row>
    <row r="222" spans="1:6" x14ac:dyDescent="0.25">
      <c r="A222">
        <v>325</v>
      </c>
      <c r="B222" s="3">
        <v>45240</v>
      </c>
      <c r="C222" t="s">
        <v>33</v>
      </c>
      <c r="D222" t="s">
        <v>6</v>
      </c>
      <c r="E222" s="13">
        <v>0.54722222222222228</v>
      </c>
      <c r="F222" t="s">
        <v>1217</v>
      </c>
    </row>
    <row r="223" spans="1:6" x14ac:dyDescent="0.25">
      <c r="A223">
        <v>325</v>
      </c>
      <c r="B223" s="3">
        <v>45254</v>
      </c>
      <c r="C223" t="s">
        <v>33</v>
      </c>
      <c r="D223" t="s">
        <v>6</v>
      </c>
      <c r="E223" s="13">
        <v>0.60555555555555551</v>
      </c>
      <c r="F223" t="s">
        <v>1218</v>
      </c>
    </row>
    <row r="224" spans="1:6" x14ac:dyDescent="0.25">
      <c r="A224">
        <v>325</v>
      </c>
      <c r="B224" s="3">
        <v>45268</v>
      </c>
      <c r="C224" t="s">
        <v>33</v>
      </c>
      <c r="D224" t="s">
        <v>6</v>
      </c>
      <c r="E224" s="13">
        <v>0.57499999999999996</v>
      </c>
      <c r="F224" t="s">
        <v>1218</v>
      </c>
    </row>
    <row r="225" spans="1:6" x14ac:dyDescent="0.25">
      <c r="A225">
        <v>325</v>
      </c>
      <c r="B225" s="3">
        <v>45282</v>
      </c>
      <c r="C225" t="s">
        <v>33</v>
      </c>
      <c r="D225" t="s">
        <v>6</v>
      </c>
      <c r="E225" s="13">
        <v>0.56736111111111109</v>
      </c>
      <c r="F225" t="s">
        <v>1218</v>
      </c>
    </row>
    <row r="226" spans="1:6" x14ac:dyDescent="0.25">
      <c r="A226">
        <v>327</v>
      </c>
      <c r="B226" s="3">
        <v>45226</v>
      </c>
      <c r="C226" t="s">
        <v>33</v>
      </c>
      <c r="D226" t="s">
        <v>6</v>
      </c>
      <c r="E226" s="13">
        <v>0.57847222222222228</v>
      </c>
      <c r="F226" t="s">
        <v>1217</v>
      </c>
    </row>
    <row r="227" spans="1:6" x14ac:dyDescent="0.25">
      <c r="A227">
        <v>329</v>
      </c>
      <c r="B227" s="3">
        <v>45219</v>
      </c>
      <c r="C227" t="s">
        <v>33</v>
      </c>
      <c r="D227" t="s">
        <v>6</v>
      </c>
      <c r="E227" s="13">
        <v>0.89861111111111114</v>
      </c>
      <c r="F227" t="s">
        <v>1217</v>
      </c>
    </row>
    <row r="228" spans="1:6" x14ac:dyDescent="0.25">
      <c r="A228">
        <v>329</v>
      </c>
      <c r="B228" s="3">
        <v>45226</v>
      </c>
      <c r="C228" t="s">
        <v>33</v>
      </c>
      <c r="D228" t="s">
        <v>6</v>
      </c>
      <c r="E228" s="13">
        <v>0.57430555555555551</v>
      </c>
      <c r="F228" t="s">
        <v>1217</v>
      </c>
    </row>
    <row r="229" spans="1:6" x14ac:dyDescent="0.25">
      <c r="A229">
        <v>329</v>
      </c>
      <c r="B229" s="3">
        <v>45233</v>
      </c>
      <c r="C229" t="s">
        <v>33</v>
      </c>
      <c r="D229" t="s">
        <v>6</v>
      </c>
      <c r="E229" s="13">
        <v>0.55625000000000002</v>
      </c>
      <c r="F229" t="s">
        <v>1217</v>
      </c>
    </row>
    <row r="230" spans="1:6" x14ac:dyDescent="0.25">
      <c r="A230">
        <v>329</v>
      </c>
      <c r="B230" s="3">
        <v>45240</v>
      </c>
      <c r="C230" t="s">
        <v>33</v>
      </c>
      <c r="D230" t="s">
        <v>6</v>
      </c>
      <c r="E230" s="13">
        <v>0.55555555555555558</v>
      </c>
      <c r="F230" t="s">
        <v>1217</v>
      </c>
    </row>
    <row r="231" spans="1:6" x14ac:dyDescent="0.25">
      <c r="A231">
        <v>329</v>
      </c>
      <c r="B231" s="3">
        <v>45254</v>
      </c>
      <c r="C231" t="s">
        <v>33</v>
      </c>
      <c r="D231" t="s">
        <v>6</v>
      </c>
      <c r="E231" s="13">
        <v>0.56944444444444442</v>
      </c>
      <c r="F231" t="s">
        <v>1218</v>
      </c>
    </row>
    <row r="232" spans="1:6" x14ac:dyDescent="0.25">
      <c r="A232">
        <v>329</v>
      </c>
      <c r="B232" s="3">
        <v>45268</v>
      </c>
      <c r="C232" t="s">
        <v>33</v>
      </c>
      <c r="D232" t="s">
        <v>6</v>
      </c>
      <c r="E232" s="13">
        <v>0.57777777777777772</v>
      </c>
      <c r="F232" t="s">
        <v>1218</v>
      </c>
    </row>
    <row r="233" spans="1:6" x14ac:dyDescent="0.25">
      <c r="A233">
        <v>329</v>
      </c>
      <c r="B233" s="3">
        <v>45282</v>
      </c>
      <c r="C233" t="s">
        <v>33</v>
      </c>
      <c r="D233" t="s">
        <v>6</v>
      </c>
      <c r="E233" s="13">
        <v>0.56388888888888888</v>
      </c>
      <c r="F233" t="s">
        <v>1218</v>
      </c>
    </row>
    <row r="234" spans="1:6" x14ac:dyDescent="0.25">
      <c r="A234">
        <v>330</v>
      </c>
      <c r="B234" s="3">
        <v>45219</v>
      </c>
      <c r="C234" t="s">
        <v>33</v>
      </c>
      <c r="D234" t="s">
        <v>6</v>
      </c>
      <c r="E234" s="13">
        <v>0.89930555555555558</v>
      </c>
      <c r="F234" t="s">
        <v>1217</v>
      </c>
    </row>
    <row r="235" spans="1:6" x14ac:dyDescent="0.25">
      <c r="A235">
        <v>330</v>
      </c>
      <c r="B235" s="3">
        <v>45261</v>
      </c>
      <c r="C235" t="s">
        <v>33</v>
      </c>
      <c r="D235" t="s">
        <v>6</v>
      </c>
      <c r="E235" s="13">
        <v>0.56319444444444444</v>
      </c>
      <c r="F235" t="s">
        <v>1218</v>
      </c>
    </row>
    <row r="236" spans="1:6" x14ac:dyDescent="0.25">
      <c r="A236">
        <v>333</v>
      </c>
      <c r="B236" s="3">
        <v>45233</v>
      </c>
      <c r="C236" t="s">
        <v>33</v>
      </c>
      <c r="D236" t="s">
        <v>6</v>
      </c>
      <c r="E236" s="13">
        <v>0.52847222222222223</v>
      </c>
      <c r="F236" t="s">
        <v>1217</v>
      </c>
    </row>
    <row r="237" spans="1:6" x14ac:dyDescent="0.25">
      <c r="A237">
        <v>333</v>
      </c>
      <c r="B237" s="3">
        <v>45240</v>
      </c>
      <c r="C237" t="s">
        <v>33</v>
      </c>
      <c r="D237" t="s">
        <v>6</v>
      </c>
      <c r="E237" s="13">
        <v>0.55694444444444446</v>
      </c>
      <c r="F237" t="s">
        <v>1217</v>
      </c>
    </row>
    <row r="238" spans="1:6" x14ac:dyDescent="0.25">
      <c r="A238">
        <v>333</v>
      </c>
      <c r="B238" s="3">
        <v>45247</v>
      </c>
      <c r="C238" t="s">
        <v>33</v>
      </c>
      <c r="D238" t="s">
        <v>6</v>
      </c>
      <c r="E238" s="13">
        <v>0.54791666666666672</v>
      </c>
      <c r="F238" t="s">
        <v>1217</v>
      </c>
    </row>
    <row r="239" spans="1:6" x14ac:dyDescent="0.25">
      <c r="A239">
        <v>334</v>
      </c>
      <c r="B239" s="3">
        <v>45226</v>
      </c>
      <c r="C239" t="s">
        <v>33</v>
      </c>
      <c r="D239" t="s">
        <v>6</v>
      </c>
      <c r="E239" s="13">
        <v>0.57986111111111116</v>
      </c>
      <c r="F239" t="s">
        <v>1217</v>
      </c>
    </row>
    <row r="240" spans="1:6" x14ac:dyDescent="0.25">
      <c r="A240">
        <v>334</v>
      </c>
      <c r="B240" s="3">
        <v>45240</v>
      </c>
      <c r="C240" t="s">
        <v>33</v>
      </c>
      <c r="D240" t="s">
        <v>6</v>
      </c>
      <c r="E240" s="13">
        <v>0.56874999999999998</v>
      </c>
      <c r="F240" t="s">
        <v>1218</v>
      </c>
    </row>
    <row r="241" spans="1:6" x14ac:dyDescent="0.25">
      <c r="A241">
        <v>334</v>
      </c>
      <c r="B241" s="3">
        <v>45254</v>
      </c>
      <c r="C241" t="s">
        <v>33</v>
      </c>
      <c r="D241" t="s">
        <v>6</v>
      </c>
      <c r="E241" s="13">
        <v>0.56944444444444442</v>
      </c>
      <c r="F241" t="s">
        <v>1218</v>
      </c>
    </row>
    <row r="242" spans="1:6" x14ac:dyDescent="0.25">
      <c r="A242">
        <v>337</v>
      </c>
      <c r="B242" s="3">
        <v>45219</v>
      </c>
      <c r="C242" t="s">
        <v>33</v>
      </c>
      <c r="D242" t="s">
        <v>6</v>
      </c>
      <c r="E242" s="13">
        <v>0.9</v>
      </c>
      <c r="F242" t="s">
        <v>1217</v>
      </c>
    </row>
    <row r="243" spans="1:6" x14ac:dyDescent="0.25">
      <c r="A243">
        <v>337</v>
      </c>
      <c r="B243" s="3">
        <v>45226</v>
      </c>
      <c r="C243" t="s">
        <v>33</v>
      </c>
      <c r="D243" t="s">
        <v>6</v>
      </c>
      <c r="E243" s="13">
        <v>0.57777777777777772</v>
      </c>
      <c r="F243" t="s">
        <v>1217</v>
      </c>
    </row>
    <row r="244" spans="1:6" x14ac:dyDescent="0.25">
      <c r="A244">
        <v>337</v>
      </c>
      <c r="B244" s="3">
        <v>45233</v>
      </c>
      <c r="C244" t="s">
        <v>33</v>
      </c>
      <c r="D244" t="s">
        <v>6</v>
      </c>
      <c r="E244" s="13">
        <v>0.5625</v>
      </c>
      <c r="F244" t="s">
        <v>1217</v>
      </c>
    </row>
    <row r="245" spans="1:6" x14ac:dyDescent="0.25">
      <c r="A245">
        <v>337</v>
      </c>
      <c r="B245" s="3">
        <v>45240</v>
      </c>
      <c r="C245" t="s">
        <v>33</v>
      </c>
      <c r="D245" t="s">
        <v>6</v>
      </c>
      <c r="E245" s="13">
        <v>0.56805555555555554</v>
      </c>
      <c r="F245" t="s">
        <v>1218</v>
      </c>
    </row>
    <row r="246" spans="1:6" x14ac:dyDescent="0.25">
      <c r="A246">
        <v>337</v>
      </c>
      <c r="B246" s="3">
        <v>45254</v>
      </c>
      <c r="C246" t="s">
        <v>33</v>
      </c>
      <c r="D246" t="s">
        <v>6</v>
      </c>
      <c r="E246" s="13">
        <v>0.60555555555555551</v>
      </c>
      <c r="F246" t="s">
        <v>1218</v>
      </c>
    </row>
    <row r="247" spans="1:6" x14ac:dyDescent="0.25">
      <c r="A247">
        <v>337</v>
      </c>
      <c r="B247" s="3">
        <v>45268</v>
      </c>
      <c r="C247" t="s">
        <v>33</v>
      </c>
      <c r="D247" t="s">
        <v>6</v>
      </c>
      <c r="E247" s="13">
        <v>0.57638888888888884</v>
      </c>
      <c r="F247" t="s">
        <v>1218</v>
      </c>
    </row>
    <row r="248" spans="1:6" x14ac:dyDescent="0.25">
      <c r="A248">
        <v>337</v>
      </c>
      <c r="B248" s="3">
        <v>45282</v>
      </c>
      <c r="C248" t="s">
        <v>33</v>
      </c>
      <c r="D248" t="s">
        <v>6</v>
      </c>
      <c r="E248" s="13">
        <v>0.56736111111111109</v>
      </c>
      <c r="F248" t="s">
        <v>1218</v>
      </c>
    </row>
    <row r="249" spans="1:6" x14ac:dyDescent="0.25">
      <c r="A249">
        <v>338</v>
      </c>
      <c r="B249" s="3">
        <v>45226</v>
      </c>
      <c r="C249" t="s">
        <v>33</v>
      </c>
      <c r="D249" t="s">
        <v>6</v>
      </c>
      <c r="E249" s="13">
        <v>0.57499999999999996</v>
      </c>
      <c r="F249" t="s">
        <v>1217</v>
      </c>
    </row>
    <row r="250" spans="1:6" x14ac:dyDescent="0.25">
      <c r="A250">
        <v>338</v>
      </c>
      <c r="B250" s="3">
        <v>45240</v>
      </c>
      <c r="C250" t="s">
        <v>33</v>
      </c>
      <c r="D250" t="s">
        <v>6</v>
      </c>
      <c r="E250" s="13">
        <v>0.55069444444444449</v>
      </c>
      <c r="F250" t="s">
        <v>1217</v>
      </c>
    </row>
    <row r="251" spans="1:6" x14ac:dyDescent="0.25">
      <c r="A251">
        <v>338</v>
      </c>
      <c r="B251" s="3">
        <v>45254</v>
      </c>
      <c r="C251" t="s">
        <v>33</v>
      </c>
      <c r="D251" t="s">
        <v>6</v>
      </c>
      <c r="E251" s="13">
        <v>0.55972222222222223</v>
      </c>
      <c r="F251" t="s">
        <v>1217</v>
      </c>
    </row>
    <row r="252" spans="1:6" x14ac:dyDescent="0.25">
      <c r="A252">
        <v>338</v>
      </c>
      <c r="B252" s="3">
        <v>45261</v>
      </c>
      <c r="C252" t="s">
        <v>33</v>
      </c>
      <c r="D252" t="s">
        <v>6</v>
      </c>
      <c r="E252" s="13">
        <v>0.54513888888888884</v>
      </c>
      <c r="F252" t="s">
        <v>1217</v>
      </c>
    </row>
    <row r="253" spans="1:6" x14ac:dyDescent="0.25">
      <c r="A253">
        <v>338</v>
      </c>
      <c r="B253" s="3">
        <v>45268</v>
      </c>
      <c r="C253" t="s">
        <v>33</v>
      </c>
      <c r="D253" t="s">
        <v>6</v>
      </c>
      <c r="E253" s="13">
        <v>0.55972222222222223</v>
      </c>
      <c r="F253" t="s">
        <v>1217</v>
      </c>
    </row>
    <row r="254" spans="1:6" x14ac:dyDescent="0.25">
      <c r="A254">
        <v>338</v>
      </c>
      <c r="B254" s="3">
        <v>45282</v>
      </c>
      <c r="C254" t="s">
        <v>33</v>
      </c>
      <c r="D254" t="s">
        <v>6</v>
      </c>
      <c r="E254" s="13">
        <v>0.55694444444444446</v>
      </c>
      <c r="F254" t="s">
        <v>1218</v>
      </c>
    </row>
    <row r="255" spans="1:6" x14ac:dyDescent="0.25">
      <c r="A255">
        <v>339</v>
      </c>
      <c r="B255" s="3">
        <v>45233</v>
      </c>
      <c r="C255" t="s">
        <v>33</v>
      </c>
      <c r="D255" t="s">
        <v>6</v>
      </c>
      <c r="E255" s="13">
        <v>0.56527777777777777</v>
      </c>
      <c r="F255" t="s">
        <v>1218</v>
      </c>
    </row>
    <row r="256" spans="1:6" x14ac:dyDescent="0.25">
      <c r="A256">
        <v>339</v>
      </c>
      <c r="B256" s="3">
        <v>45254</v>
      </c>
      <c r="C256" t="s">
        <v>33</v>
      </c>
      <c r="D256" t="s">
        <v>6</v>
      </c>
      <c r="E256" s="13">
        <v>0.5493055555555556</v>
      </c>
      <c r="F256" t="s">
        <v>1217</v>
      </c>
    </row>
    <row r="257" spans="1:6" x14ac:dyDescent="0.25">
      <c r="A257">
        <v>340</v>
      </c>
      <c r="B257" s="3">
        <v>45226</v>
      </c>
      <c r="C257" t="s">
        <v>33</v>
      </c>
      <c r="D257" t="s">
        <v>6</v>
      </c>
      <c r="E257" s="13">
        <v>0.57777777777777772</v>
      </c>
      <c r="F257" t="s">
        <v>1217</v>
      </c>
    </row>
    <row r="258" spans="1:6" x14ac:dyDescent="0.25">
      <c r="A258">
        <v>341</v>
      </c>
      <c r="B258" s="3">
        <v>45219</v>
      </c>
      <c r="C258" t="s">
        <v>33</v>
      </c>
      <c r="D258" t="s">
        <v>6</v>
      </c>
      <c r="E258" s="13">
        <v>0.89861111111111114</v>
      </c>
      <c r="F258" t="s">
        <v>1217</v>
      </c>
    </row>
    <row r="259" spans="1:6" x14ac:dyDescent="0.25">
      <c r="A259">
        <v>341</v>
      </c>
      <c r="B259" s="3">
        <v>45247</v>
      </c>
      <c r="C259" t="s">
        <v>33</v>
      </c>
      <c r="D259" t="s">
        <v>6</v>
      </c>
      <c r="E259" s="13">
        <v>0.56319444444444444</v>
      </c>
      <c r="F259" t="s">
        <v>1218</v>
      </c>
    </row>
    <row r="260" spans="1:6" x14ac:dyDescent="0.25">
      <c r="A260">
        <v>342</v>
      </c>
      <c r="B260" s="3">
        <v>45219</v>
      </c>
      <c r="C260" t="s">
        <v>33</v>
      </c>
      <c r="D260" t="s">
        <v>6</v>
      </c>
      <c r="E260" s="13">
        <v>0.89861111111111114</v>
      </c>
      <c r="F260" t="s">
        <v>1217</v>
      </c>
    </row>
    <row r="261" spans="1:6" x14ac:dyDescent="0.25">
      <c r="A261">
        <v>342</v>
      </c>
      <c r="B261" s="3">
        <v>45226</v>
      </c>
      <c r="C261" t="s">
        <v>33</v>
      </c>
      <c r="D261" t="s">
        <v>6</v>
      </c>
      <c r="E261" s="13">
        <v>0.57777777777777772</v>
      </c>
      <c r="F261" t="s">
        <v>1217</v>
      </c>
    </row>
    <row r="262" spans="1:6" x14ac:dyDescent="0.25">
      <c r="A262">
        <v>342</v>
      </c>
      <c r="B262" s="3">
        <v>45233</v>
      </c>
      <c r="C262" t="s">
        <v>33</v>
      </c>
      <c r="D262" t="s">
        <v>6</v>
      </c>
      <c r="E262" s="13">
        <v>0.55138888888888893</v>
      </c>
      <c r="F262" t="s">
        <v>1217</v>
      </c>
    </row>
    <row r="263" spans="1:6" x14ac:dyDescent="0.25">
      <c r="A263">
        <v>342</v>
      </c>
      <c r="B263" s="3">
        <v>45240</v>
      </c>
      <c r="C263" t="s">
        <v>33</v>
      </c>
      <c r="D263" t="s">
        <v>6</v>
      </c>
      <c r="E263" s="13">
        <v>0.5444444444444444</v>
      </c>
      <c r="F263" t="s">
        <v>1217</v>
      </c>
    </row>
    <row r="264" spans="1:6" x14ac:dyDescent="0.25">
      <c r="A264">
        <v>342</v>
      </c>
      <c r="B264" s="3">
        <v>45254</v>
      </c>
      <c r="C264" t="s">
        <v>33</v>
      </c>
      <c r="D264" t="s">
        <v>6</v>
      </c>
      <c r="E264" s="13">
        <v>0.55972222222222223</v>
      </c>
      <c r="F264" t="s">
        <v>1217</v>
      </c>
    </row>
    <row r="265" spans="1:6" x14ac:dyDescent="0.25">
      <c r="A265">
        <v>342</v>
      </c>
      <c r="B265" s="3">
        <v>45261</v>
      </c>
      <c r="C265" t="s">
        <v>33</v>
      </c>
      <c r="D265" t="s">
        <v>6</v>
      </c>
      <c r="E265" s="13">
        <v>0.5625</v>
      </c>
      <c r="F265" t="s">
        <v>1217</v>
      </c>
    </row>
    <row r="266" spans="1:6" x14ac:dyDescent="0.25">
      <c r="A266">
        <v>342</v>
      </c>
      <c r="B266" s="3">
        <v>45268</v>
      </c>
      <c r="C266" t="s">
        <v>33</v>
      </c>
      <c r="D266" t="s">
        <v>6</v>
      </c>
      <c r="E266" s="13">
        <v>0.57777777777777772</v>
      </c>
      <c r="F266" t="s">
        <v>1218</v>
      </c>
    </row>
    <row r="267" spans="1:6" x14ac:dyDescent="0.25">
      <c r="A267">
        <v>342</v>
      </c>
      <c r="B267" s="3">
        <v>45282</v>
      </c>
      <c r="C267" t="s">
        <v>33</v>
      </c>
      <c r="D267" t="s">
        <v>6</v>
      </c>
      <c r="E267" s="13">
        <v>0.56319444444444444</v>
      </c>
      <c r="F267" t="s">
        <v>1218</v>
      </c>
    </row>
    <row r="268" spans="1:6" x14ac:dyDescent="0.25">
      <c r="A268">
        <v>343</v>
      </c>
      <c r="B268" s="3">
        <v>45219</v>
      </c>
      <c r="C268" t="s">
        <v>33</v>
      </c>
      <c r="D268" t="s">
        <v>6</v>
      </c>
      <c r="E268" s="13">
        <v>0.89861111111111114</v>
      </c>
      <c r="F268" t="s">
        <v>1217</v>
      </c>
    </row>
    <row r="269" spans="1:6" x14ac:dyDescent="0.25">
      <c r="A269">
        <v>343</v>
      </c>
      <c r="B269" s="3">
        <v>45226</v>
      </c>
      <c r="C269" t="s">
        <v>33</v>
      </c>
      <c r="D269" t="s">
        <v>6</v>
      </c>
      <c r="E269" s="13">
        <v>0.57638888888888884</v>
      </c>
      <c r="F269" t="s">
        <v>1217</v>
      </c>
    </row>
    <row r="270" spans="1:6" x14ac:dyDescent="0.25">
      <c r="A270">
        <v>343</v>
      </c>
      <c r="B270" s="3">
        <v>45233</v>
      </c>
      <c r="C270" t="s">
        <v>33</v>
      </c>
      <c r="D270" t="s">
        <v>6</v>
      </c>
      <c r="E270" s="13">
        <v>0.55208333333333337</v>
      </c>
      <c r="F270" t="s">
        <v>1217</v>
      </c>
    </row>
    <row r="271" spans="1:6" x14ac:dyDescent="0.25">
      <c r="A271">
        <v>346</v>
      </c>
      <c r="B271" s="3">
        <v>45233</v>
      </c>
      <c r="C271" t="s">
        <v>33</v>
      </c>
      <c r="D271" t="s">
        <v>6</v>
      </c>
      <c r="E271" s="13">
        <v>0.55138888888888893</v>
      </c>
      <c r="F271" t="s">
        <v>1217</v>
      </c>
    </row>
    <row r="272" spans="1:6" x14ac:dyDescent="0.25">
      <c r="A272">
        <v>346</v>
      </c>
      <c r="B272" s="3">
        <v>45240</v>
      </c>
      <c r="C272" t="s">
        <v>33</v>
      </c>
      <c r="D272" t="s">
        <v>6</v>
      </c>
      <c r="E272" s="13">
        <v>0.56805555555555554</v>
      </c>
      <c r="F272" t="s">
        <v>1218</v>
      </c>
    </row>
    <row r="273" spans="1:6" x14ac:dyDescent="0.25">
      <c r="A273">
        <v>346</v>
      </c>
      <c r="B273" s="3">
        <v>45261</v>
      </c>
      <c r="C273" t="s">
        <v>33</v>
      </c>
      <c r="D273" t="s">
        <v>6</v>
      </c>
      <c r="E273" s="13">
        <v>0.55208333333333337</v>
      </c>
      <c r="F273" t="s">
        <v>1217</v>
      </c>
    </row>
    <row r="274" spans="1:6" x14ac:dyDescent="0.25">
      <c r="A274">
        <v>346</v>
      </c>
      <c r="B274" s="3">
        <v>45268</v>
      </c>
      <c r="C274" t="s">
        <v>33</v>
      </c>
      <c r="D274" t="s">
        <v>6</v>
      </c>
      <c r="E274" s="13">
        <v>0.57708333333333328</v>
      </c>
      <c r="F274" t="s">
        <v>1218</v>
      </c>
    </row>
    <row r="275" spans="1:6" x14ac:dyDescent="0.25">
      <c r="A275">
        <v>347</v>
      </c>
      <c r="B275" s="3">
        <v>45240</v>
      </c>
      <c r="C275" t="s">
        <v>33</v>
      </c>
      <c r="D275" t="s">
        <v>6</v>
      </c>
      <c r="E275" s="13">
        <v>0.55694444444444446</v>
      </c>
      <c r="F275" t="s">
        <v>1217</v>
      </c>
    </row>
    <row r="276" spans="1:6" x14ac:dyDescent="0.25">
      <c r="A276">
        <v>348</v>
      </c>
      <c r="B276" s="3">
        <v>45240</v>
      </c>
      <c r="C276" t="s">
        <v>33</v>
      </c>
      <c r="D276" t="s">
        <v>6</v>
      </c>
      <c r="E276" s="13">
        <v>0.60277777777777775</v>
      </c>
      <c r="F276" t="s">
        <v>1218</v>
      </c>
    </row>
    <row r="277" spans="1:6" x14ac:dyDescent="0.25">
      <c r="A277">
        <v>348</v>
      </c>
      <c r="B277" s="3">
        <v>45254</v>
      </c>
      <c r="C277" t="s">
        <v>33</v>
      </c>
      <c r="D277" t="s">
        <v>6</v>
      </c>
      <c r="E277" s="13">
        <v>0.58402777777777781</v>
      </c>
      <c r="F277" t="s">
        <v>1218</v>
      </c>
    </row>
    <row r="278" spans="1:6" x14ac:dyDescent="0.25">
      <c r="A278">
        <v>348</v>
      </c>
      <c r="B278" s="3">
        <v>45282</v>
      </c>
      <c r="C278" t="s">
        <v>33</v>
      </c>
      <c r="D278" t="s">
        <v>6</v>
      </c>
      <c r="E278" s="13">
        <v>0.58333333333333337</v>
      </c>
      <c r="F278" t="s">
        <v>1218</v>
      </c>
    </row>
    <row r="279" spans="1:6" x14ac:dyDescent="0.25">
      <c r="A279">
        <v>350</v>
      </c>
      <c r="B279" s="3">
        <v>45240</v>
      </c>
      <c r="C279" t="s">
        <v>33</v>
      </c>
      <c r="D279" t="s">
        <v>6</v>
      </c>
      <c r="E279" s="13">
        <v>0.6020833333333333</v>
      </c>
      <c r="F279" t="s">
        <v>1218</v>
      </c>
    </row>
    <row r="280" spans="1:6" x14ac:dyDescent="0.25">
      <c r="A280">
        <v>350</v>
      </c>
      <c r="B280" s="3">
        <v>45254</v>
      </c>
      <c r="C280" t="s">
        <v>33</v>
      </c>
      <c r="D280" t="s">
        <v>6</v>
      </c>
      <c r="E280" s="13">
        <v>0.57361111111111107</v>
      </c>
      <c r="F280" t="s">
        <v>1218</v>
      </c>
    </row>
    <row r="281" spans="1:6" x14ac:dyDescent="0.25">
      <c r="A281">
        <v>350</v>
      </c>
      <c r="B281" s="3">
        <v>45282</v>
      </c>
      <c r="C281" t="s">
        <v>33</v>
      </c>
      <c r="D281" t="s">
        <v>6</v>
      </c>
      <c r="E281" s="13">
        <v>0.58472222222222225</v>
      </c>
      <c r="F281" t="s">
        <v>1218</v>
      </c>
    </row>
    <row r="282" spans="1:6" x14ac:dyDescent="0.25">
      <c r="A282">
        <v>351</v>
      </c>
      <c r="B282" s="3">
        <v>45254</v>
      </c>
      <c r="C282" t="s">
        <v>33</v>
      </c>
      <c r="D282" t="s">
        <v>6</v>
      </c>
      <c r="E282" s="13">
        <v>0.54166666666666663</v>
      </c>
      <c r="F282" t="s">
        <v>1217</v>
      </c>
    </row>
    <row r="283" spans="1:6" x14ac:dyDescent="0.25">
      <c r="A283">
        <v>351</v>
      </c>
      <c r="B283" s="3">
        <v>45261</v>
      </c>
      <c r="C283" t="s">
        <v>33</v>
      </c>
      <c r="D283" t="s">
        <v>6</v>
      </c>
      <c r="E283" s="13">
        <v>0.5625</v>
      </c>
      <c r="F283" t="s">
        <v>1217</v>
      </c>
    </row>
    <row r="284" spans="1:6" x14ac:dyDescent="0.25">
      <c r="A284">
        <v>351</v>
      </c>
      <c r="B284" s="3">
        <v>45282</v>
      </c>
      <c r="C284" t="s">
        <v>33</v>
      </c>
      <c r="D284" t="s">
        <v>6</v>
      </c>
      <c r="E284" s="13">
        <v>0.55069444444444449</v>
      </c>
      <c r="F284" t="s">
        <v>1217</v>
      </c>
    </row>
    <row r="285" spans="1:6" x14ac:dyDescent="0.25">
      <c r="A285">
        <v>401</v>
      </c>
      <c r="B285" s="3">
        <v>45212</v>
      </c>
      <c r="C285" t="s">
        <v>33</v>
      </c>
      <c r="D285" t="s">
        <v>34</v>
      </c>
      <c r="E285" s="13">
        <v>0.55486111111111114</v>
      </c>
      <c r="F285" t="s">
        <v>1217</v>
      </c>
    </row>
    <row r="286" spans="1:6" x14ac:dyDescent="0.25">
      <c r="A286">
        <v>402</v>
      </c>
      <c r="B286" s="3">
        <v>45198</v>
      </c>
      <c r="C286" t="s">
        <v>33</v>
      </c>
      <c r="D286" t="s">
        <v>34</v>
      </c>
      <c r="E286" s="13">
        <v>0.61597222222222225</v>
      </c>
      <c r="F286" t="s">
        <v>1218</v>
      </c>
    </row>
    <row r="287" spans="1:6" x14ac:dyDescent="0.25">
      <c r="A287">
        <v>402</v>
      </c>
      <c r="B287" s="3">
        <v>45205</v>
      </c>
      <c r="C287" t="s">
        <v>33</v>
      </c>
      <c r="D287" t="s">
        <v>34</v>
      </c>
      <c r="E287" s="13">
        <v>0.62430555555555556</v>
      </c>
      <c r="F287" t="s">
        <v>1217</v>
      </c>
    </row>
    <row r="288" spans="1:6" x14ac:dyDescent="0.25">
      <c r="A288">
        <v>402</v>
      </c>
      <c r="B288" s="3">
        <v>45233</v>
      </c>
      <c r="C288" t="s">
        <v>33</v>
      </c>
      <c r="D288" t="s">
        <v>34</v>
      </c>
      <c r="E288" s="13">
        <v>0.54513888888888884</v>
      </c>
      <c r="F288" t="s">
        <v>1217</v>
      </c>
    </row>
    <row r="289" spans="1:6" x14ac:dyDescent="0.25">
      <c r="A289">
        <v>403</v>
      </c>
      <c r="B289" s="3">
        <v>45198</v>
      </c>
      <c r="C289" t="s">
        <v>33</v>
      </c>
      <c r="D289" t="s">
        <v>34</v>
      </c>
      <c r="E289" s="13">
        <v>0.61597222222222225</v>
      </c>
      <c r="F289" t="s">
        <v>1218</v>
      </c>
    </row>
    <row r="290" spans="1:6" x14ac:dyDescent="0.25">
      <c r="A290">
        <v>403</v>
      </c>
      <c r="B290" s="3">
        <v>45205</v>
      </c>
      <c r="C290" t="s">
        <v>33</v>
      </c>
      <c r="D290" t="s">
        <v>34</v>
      </c>
      <c r="E290" s="13">
        <v>0.62430555555555556</v>
      </c>
      <c r="F290" t="s">
        <v>1217</v>
      </c>
    </row>
    <row r="291" spans="1:6" x14ac:dyDescent="0.25">
      <c r="A291">
        <v>403</v>
      </c>
      <c r="B291" s="3">
        <v>45219</v>
      </c>
      <c r="C291" t="s">
        <v>33</v>
      </c>
      <c r="D291" t="s">
        <v>34</v>
      </c>
      <c r="E291" s="13">
        <v>0.9</v>
      </c>
      <c r="F291" t="s">
        <v>1217</v>
      </c>
    </row>
    <row r="292" spans="1:6" x14ac:dyDescent="0.25">
      <c r="A292">
        <v>403</v>
      </c>
      <c r="B292" s="3">
        <v>45240</v>
      </c>
      <c r="C292" t="s">
        <v>33</v>
      </c>
      <c r="D292" t="s">
        <v>34</v>
      </c>
      <c r="E292" s="13">
        <v>0.57013888888888886</v>
      </c>
      <c r="F292" t="s">
        <v>1218</v>
      </c>
    </row>
    <row r="293" spans="1:6" x14ac:dyDescent="0.25">
      <c r="A293">
        <v>403</v>
      </c>
      <c r="B293" s="3">
        <v>45254</v>
      </c>
      <c r="C293" t="s">
        <v>33</v>
      </c>
      <c r="D293" t="s">
        <v>34</v>
      </c>
      <c r="E293" s="13">
        <v>0.61944444444444446</v>
      </c>
      <c r="F293" t="s">
        <v>1217</v>
      </c>
    </row>
    <row r="294" spans="1:6" x14ac:dyDescent="0.25">
      <c r="A294">
        <v>403</v>
      </c>
      <c r="B294" s="3">
        <v>45268</v>
      </c>
      <c r="C294" t="s">
        <v>33</v>
      </c>
      <c r="D294" t="s">
        <v>34</v>
      </c>
      <c r="E294" s="13">
        <v>0.54513888888888884</v>
      </c>
      <c r="F294" t="s">
        <v>1217</v>
      </c>
    </row>
    <row r="295" spans="1:6" x14ac:dyDescent="0.25">
      <c r="A295">
        <v>403</v>
      </c>
      <c r="B295" s="3">
        <v>45275</v>
      </c>
      <c r="C295" t="s">
        <v>33</v>
      </c>
      <c r="D295" t="s">
        <v>34</v>
      </c>
      <c r="E295" s="13">
        <v>0.54583333333333328</v>
      </c>
      <c r="F295" t="s">
        <v>1217</v>
      </c>
    </row>
    <row r="296" spans="1:6" x14ac:dyDescent="0.25">
      <c r="A296">
        <v>403</v>
      </c>
      <c r="B296" s="3">
        <v>45282</v>
      </c>
      <c r="C296" t="s">
        <v>33</v>
      </c>
      <c r="D296" t="s">
        <v>34</v>
      </c>
      <c r="E296" s="13">
        <v>0.53333333333333333</v>
      </c>
      <c r="F296" t="s">
        <v>1217</v>
      </c>
    </row>
    <row r="297" spans="1:6" x14ac:dyDescent="0.25">
      <c r="A297">
        <v>404</v>
      </c>
      <c r="B297" s="3">
        <v>45198</v>
      </c>
      <c r="C297" t="s">
        <v>33</v>
      </c>
      <c r="D297" t="s">
        <v>34</v>
      </c>
      <c r="E297" s="13">
        <v>0.62152777777777779</v>
      </c>
      <c r="F297" t="s">
        <v>1218</v>
      </c>
    </row>
    <row r="298" spans="1:6" x14ac:dyDescent="0.25">
      <c r="A298">
        <v>404</v>
      </c>
      <c r="B298" s="3">
        <v>45205</v>
      </c>
      <c r="C298" t="s">
        <v>33</v>
      </c>
      <c r="D298" t="s">
        <v>34</v>
      </c>
      <c r="E298" s="13">
        <v>0.62569444444444444</v>
      </c>
      <c r="F298" t="s">
        <v>1217</v>
      </c>
    </row>
    <row r="299" spans="1:6" x14ac:dyDescent="0.25">
      <c r="A299">
        <v>404</v>
      </c>
      <c r="B299" s="3">
        <v>45212</v>
      </c>
      <c r="C299" t="s">
        <v>33</v>
      </c>
      <c r="D299" t="s">
        <v>34</v>
      </c>
      <c r="E299" s="13">
        <v>0.6020833333333333</v>
      </c>
      <c r="F299" t="s">
        <v>1218</v>
      </c>
    </row>
    <row r="300" spans="1:6" x14ac:dyDescent="0.25">
      <c r="A300">
        <v>404</v>
      </c>
      <c r="B300" s="3">
        <v>45219</v>
      </c>
      <c r="C300" t="s">
        <v>33</v>
      </c>
      <c r="D300" t="s">
        <v>34</v>
      </c>
      <c r="E300" s="13">
        <v>0.9</v>
      </c>
      <c r="F300" t="s">
        <v>1217</v>
      </c>
    </row>
    <row r="301" spans="1:6" x14ac:dyDescent="0.25">
      <c r="A301">
        <v>404</v>
      </c>
      <c r="B301" s="3">
        <v>45233</v>
      </c>
      <c r="C301" t="s">
        <v>33</v>
      </c>
      <c r="D301" t="s">
        <v>34</v>
      </c>
      <c r="E301" s="13">
        <v>0.61319444444444449</v>
      </c>
      <c r="F301" t="s">
        <v>1218</v>
      </c>
    </row>
    <row r="302" spans="1:6" x14ac:dyDescent="0.25">
      <c r="A302">
        <v>404</v>
      </c>
      <c r="B302" s="3">
        <v>45240</v>
      </c>
      <c r="C302" t="s">
        <v>33</v>
      </c>
      <c r="D302" t="s">
        <v>34</v>
      </c>
      <c r="E302" s="13">
        <v>0.62013888888888891</v>
      </c>
      <c r="F302" t="s">
        <v>1217</v>
      </c>
    </row>
    <row r="303" spans="1:6" x14ac:dyDescent="0.25">
      <c r="A303">
        <v>404</v>
      </c>
      <c r="B303" s="3">
        <v>45261</v>
      </c>
      <c r="C303" t="s">
        <v>33</v>
      </c>
      <c r="D303" t="s">
        <v>34</v>
      </c>
      <c r="E303" s="13">
        <v>0.5854166666666667</v>
      </c>
      <c r="F303" t="s">
        <v>1218</v>
      </c>
    </row>
    <row r="304" spans="1:6" x14ac:dyDescent="0.25">
      <c r="A304">
        <v>404</v>
      </c>
      <c r="B304" s="3">
        <v>45268</v>
      </c>
      <c r="C304" t="s">
        <v>33</v>
      </c>
      <c r="D304" t="s">
        <v>34</v>
      </c>
      <c r="E304" s="13">
        <v>0.61250000000000004</v>
      </c>
      <c r="F304" t="s">
        <v>1218</v>
      </c>
    </row>
    <row r="305" spans="1:6" x14ac:dyDescent="0.25">
      <c r="A305">
        <v>404</v>
      </c>
      <c r="B305" s="3">
        <v>45282</v>
      </c>
      <c r="C305" t="s">
        <v>33</v>
      </c>
      <c r="D305" t="s">
        <v>34</v>
      </c>
      <c r="E305" s="13">
        <v>0.61527777777777781</v>
      </c>
      <c r="F305" t="s">
        <v>1218</v>
      </c>
    </row>
    <row r="306" spans="1:6" x14ac:dyDescent="0.25">
      <c r="A306">
        <v>417</v>
      </c>
      <c r="B306" s="3">
        <v>45219</v>
      </c>
      <c r="C306" t="s">
        <v>33</v>
      </c>
      <c r="D306" t="s">
        <v>7</v>
      </c>
      <c r="E306" s="13">
        <v>0.89861111111111114</v>
      </c>
      <c r="F306" t="s">
        <v>1217</v>
      </c>
    </row>
    <row r="307" spans="1:6" x14ac:dyDescent="0.25">
      <c r="A307">
        <v>417</v>
      </c>
      <c r="B307" s="3">
        <v>45226</v>
      </c>
      <c r="C307" t="s">
        <v>33</v>
      </c>
      <c r="D307" t="s">
        <v>7</v>
      </c>
      <c r="E307" s="13">
        <v>0.5756944444444444</v>
      </c>
      <c r="F307" t="s">
        <v>1217</v>
      </c>
    </row>
    <row r="308" spans="1:6" x14ac:dyDescent="0.25">
      <c r="A308">
        <v>417</v>
      </c>
      <c r="B308" s="3">
        <v>45233</v>
      </c>
      <c r="C308" t="s">
        <v>33</v>
      </c>
      <c r="D308" t="s">
        <v>7</v>
      </c>
      <c r="E308" s="13">
        <v>0.5395833333333333</v>
      </c>
      <c r="F308" t="s">
        <v>1217</v>
      </c>
    </row>
    <row r="309" spans="1:6" x14ac:dyDescent="0.25">
      <c r="A309">
        <v>417</v>
      </c>
      <c r="B309" s="3">
        <v>45240</v>
      </c>
      <c r="C309" t="s">
        <v>33</v>
      </c>
      <c r="D309" t="s">
        <v>7</v>
      </c>
      <c r="E309" s="13">
        <v>0.5444444444444444</v>
      </c>
      <c r="F309" t="s">
        <v>1217</v>
      </c>
    </row>
    <row r="310" spans="1:6" x14ac:dyDescent="0.25">
      <c r="A310">
        <v>417</v>
      </c>
      <c r="B310" s="3">
        <v>45254</v>
      </c>
      <c r="C310" t="s">
        <v>33</v>
      </c>
      <c r="D310" t="s">
        <v>7</v>
      </c>
      <c r="E310" s="13">
        <v>0.53680555555555554</v>
      </c>
      <c r="F310" t="s">
        <v>1217</v>
      </c>
    </row>
    <row r="311" spans="1:6" x14ac:dyDescent="0.25">
      <c r="A311">
        <v>417</v>
      </c>
      <c r="B311" s="3">
        <v>45261</v>
      </c>
      <c r="C311" t="s">
        <v>33</v>
      </c>
      <c r="D311" t="s">
        <v>7</v>
      </c>
      <c r="E311" s="13">
        <v>0.55694444444444446</v>
      </c>
      <c r="F311" t="s">
        <v>1218</v>
      </c>
    </row>
    <row r="312" spans="1:6" x14ac:dyDescent="0.25">
      <c r="A312">
        <v>417</v>
      </c>
      <c r="B312" s="3">
        <v>45268</v>
      </c>
      <c r="C312" t="s">
        <v>33</v>
      </c>
      <c r="D312" t="s">
        <v>7</v>
      </c>
      <c r="E312" s="13">
        <v>0.54166666666666663</v>
      </c>
      <c r="F312" t="s">
        <v>1217</v>
      </c>
    </row>
    <row r="313" spans="1:6" x14ac:dyDescent="0.25">
      <c r="A313">
        <v>417</v>
      </c>
      <c r="B313" s="3">
        <v>45275</v>
      </c>
      <c r="C313" t="s">
        <v>33</v>
      </c>
      <c r="D313" t="s">
        <v>7</v>
      </c>
      <c r="E313" s="13">
        <v>0.54513888888888884</v>
      </c>
      <c r="F313" t="s">
        <v>1217</v>
      </c>
    </row>
    <row r="314" spans="1:6" x14ac:dyDescent="0.25">
      <c r="A314">
        <v>418</v>
      </c>
      <c r="B314" s="3">
        <v>45240</v>
      </c>
      <c r="C314" t="s">
        <v>33</v>
      </c>
      <c r="D314" t="s">
        <v>7</v>
      </c>
      <c r="E314" s="13">
        <v>0.5444444444444444</v>
      </c>
      <c r="F314" t="s">
        <v>1217</v>
      </c>
    </row>
    <row r="315" spans="1:6" x14ac:dyDescent="0.25">
      <c r="A315">
        <v>418</v>
      </c>
      <c r="B315" s="3">
        <v>45254</v>
      </c>
      <c r="C315" t="s">
        <v>33</v>
      </c>
      <c r="D315" t="s">
        <v>7</v>
      </c>
      <c r="E315" s="13">
        <v>0.56944444444444442</v>
      </c>
      <c r="F315" t="s">
        <v>1218</v>
      </c>
    </row>
    <row r="316" spans="1:6" x14ac:dyDescent="0.25">
      <c r="A316">
        <v>418</v>
      </c>
      <c r="B316" s="3">
        <v>45268</v>
      </c>
      <c r="C316" t="s">
        <v>33</v>
      </c>
      <c r="D316" t="s">
        <v>7</v>
      </c>
      <c r="E316" s="13">
        <v>0.57777777777777772</v>
      </c>
      <c r="F316" t="s">
        <v>1218</v>
      </c>
    </row>
    <row r="317" spans="1:6" x14ac:dyDescent="0.25">
      <c r="A317">
        <v>418</v>
      </c>
      <c r="B317" s="3">
        <v>45282</v>
      </c>
      <c r="C317" t="s">
        <v>33</v>
      </c>
      <c r="D317" t="s">
        <v>7</v>
      </c>
      <c r="E317" s="13">
        <v>0.56388888888888888</v>
      </c>
      <c r="F317" t="s">
        <v>1218</v>
      </c>
    </row>
    <row r="318" spans="1:6" x14ac:dyDescent="0.25">
      <c r="A318">
        <v>422</v>
      </c>
      <c r="B318" s="3">
        <v>45226</v>
      </c>
      <c r="C318" t="s">
        <v>33</v>
      </c>
      <c r="D318" t="s">
        <v>7</v>
      </c>
      <c r="E318" s="13">
        <v>0.5805555555555556</v>
      </c>
      <c r="F318" t="s">
        <v>1217</v>
      </c>
    </row>
    <row r="319" spans="1:6" x14ac:dyDescent="0.25">
      <c r="A319">
        <v>422</v>
      </c>
      <c r="B319" s="3">
        <v>45233</v>
      </c>
      <c r="C319" t="s">
        <v>33</v>
      </c>
      <c r="D319" t="s">
        <v>7</v>
      </c>
      <c r="E319" s="13">
        <v>0.59652777777777777</v>
      </c>
      <c r="F319" t="s">
        <v>1218</v>
      </c>
    </row>
    <row r="320" spans="1:6" x14ac:dyDescent="0.25">
      <c r="A320">
        <v>422</v>
      </c>
      <c r="B320" s="3">
        <v>45275</v>
      </c>
      <c r="C320" t="s">
        <v>33</v>
      </c>
      <c r="D320" t="s">
        <v>7</v>
      </c>
      <c r="E320" s="13">
        <v>0.54513888888888884</v>
      </c>
      <c r="F320" t="s">
        <v>1217</v>
      </c>
    </row>
    <row r="321" spans="1:6" x14ac:dyDescent="0.25">
      <c r="A321">
        <v>425</v>
      </c>
      <c r="B321" s="3">
        <v>45268</v>
      </c>
      <c r="C321" t="s">
        <v>33</v>
      </c>
      <c r="D321" t="s">
        <v>7</v>
      </c>
      <c r="E321" s="13">
        <v>0.5756944444444444</v>
      </c>
      <c r="F321" t="s">
        <v>1218</v>
      </c>
    </row>
    <row r="322" spans="1:6" x14ac:dyDescent="0.25">
      <c r="A322">
        <v>425</v>
      </c>
      <c r="B322" s="3">
        <v>45282</v>
      </c>
      <c r="C322" t="s">
        <v>33</v>
      </c>
      <c r="D322" t="s">
        <v>7</v>
      </c>
      <c r="E322" s="13">
        <v>0.55347222222222225</v>
      </c>
      <c r="F322" t="s">
        <v>1217</v>
      </c>
    </row>
    <row r="323" spans="1:6" x14ac:dyDescent="0.25">
      <c r="A323">
        <v>427</v>
      </c>
      <c r="B323" s="3">
        <v>45226</v>
      </c>
      <c r="C323" t="s">
        <v>33</v>
      </c>
      <c r="D323" t="s">
        <v>7</v>
      </c>
      <c r="E323" s="13">
        <v>0.57777777777777772</v>
      </c>
      <c r="F323" t="s">
        <v>1217</v>
      </c>
    </row>
    <row r="324" spans="1:6" x14ac:dyDescent="0.25">
      <c r="A324">
        <v>427</v>
      </c>
      <c r="B324" s="3">
        <v>45233</v>
      </c>
      <c r="C324" t="s">
        <v>33</v>
      </c>
      <c r="D324" t="s">
        <v>7</v>
      </c>
      <c r="E324" s="13">
        <v>0.58888888888888891</v>
      </c>
      <c r="F324" t="s">
        <v>1218</v>
      </c>
    </row>
    <row r="325" spans="1:6" x14ac:dyDescent="0.25">
      <c r="A325">
        <v>427</v>
      </c>
      <c r="B325" s="3">
        <v>45268</v>
      </c>
      <c r="C325" t="s">
        <v>33</v>
      </c>
      <c r="D325" t="s">
        <v>7</v>
      </c>
      <c r="E325" s="13">
        <v>0.5756944444444444</v>
      </c>
      <c r="F325" t="s">
        <v>1218</v>
      </c>
    </row>
    <row r="326" spans="1:6" x14ac:dyDescent="0.25">
      <c r="A326">
        <v>431</v>
      </c>
      <c r="B326" s="3">
        <v>45282</v>
      </c>
      <c r="C326" t="s">
        <v>33</v>
      </c>
      <c r="D326" t="s">
        <v>7</v>
      </c>
      <c r="E326" s="13">
        <v>0.54861111111111116</v>
      </c>
      <c r="F326" t="s">
        <v>1218</v>
      </c>
    </row>
    <row r="327" spans="1:6" x14ac:dyDescent="0.25">
      <c r="A327">
        <v>433</v>
      </c>
      <c r="B327" s="3">
        <v>45233</v>
      </c>
      <c r="C327" t="s">
        <v>33</v>
      </c>
      <c r="D327" t="s">
        <v>7</v>
      </c>
      <c r="E327" s="13">
        <v>0.54791666666666672</v>
      </c>
      <c r="F327" t="s">
        <v>1217</v>
      </c>
    </row>
    <row r="328" spans="1:6" x14ac:dyDescent="0.25">
      <c r="A328">
        <v>433</v>
      </c>
      <c r="B328" s="3">
        <v>45282</v>
      </c>
      <c r="C328" t="s">
        <v>33</v>
      </c>
      <c r="D328" t="s">
        <v>7</v>
      </c>
      <c r="E328" s="13">
        <v>0.53402777777777777</v>
      </c>
      <c r="F328" t="s">
        <v>1217</v>
      </c>
    </row>
    <row r="329" spans="1:6" x14ac:dyDescent="0.25">
      <c r="A329">
        <v>435</v>
      </c>
      <c r="B329" s="3">
        <v>45226</v>
      </c>
      <c r="C329" t="s">
        <v>33</v>
      </c>
      <c r="D329" t="s">
        <v>7</v>
      </c>
      <c r="E329" s="13">
        <v>0.57499999999999996</v>
      </c>
      <c r="F329" t="s">
        <v>1217</v>
      </c>
    </row>
    <row r="330" spans="1:6" x14ac:dyDescent="0.25">
      <c r="A330">
        <v>435</v>
      </c>
      <c r="B330" s="3">
        <v>45240</v>
      </c>
      <c r="C330" t="s">
        <v>33</v>
      </c>
      <c r="D330" t="s">
        <v>7</v>
      </c>
      <c r="E330" s="13">
        <v>0.54652777777777772</v>
      </c>
      <c r="F330" t="s">
        <v>1217</v>
      </c>
    </row>
    <row r="331" spans="1:6" x14ac:dyDescent="0.25">
      <c r="A331">
        <v>435</v>
      </c>
      <c r="B331" s="3">
        <v>45261</v>
      </c>
      <c r="C331" t="s">
        <v>33</v>
      </c>
      <c r="D331" t="s">
        <v>7</v>
      </c>
      <c r="E331" s="13">
        <v>0.54166666666666663</v>
      </c>
      <c r="F331" t="s">
        <v>1217</v>
      </c>
    </row>
    <row r="332" spans="1:6" x14ac:dyDescent="0.25">
      <c r="A332">
        <v>435</v>
      </c>
      <c r="B332" s="3">
        <v>45268</v>
      </c>
      <c r="C332" t="s">
        <v>33</v>
      </c>
      <c r="D332" t="s">
        <v>7</v>
      </c>
      <c r="E332" s="13">
        <v>0.5493055555555556</v>
      </c>
      <c r="F332" t="s">
        <v>1217</v>
      </c>
    </row>
    <row r="333" spans="1:6" x14ac:dyDescent="0.25">
      <c r="A333">
        <v>435</v>
      </c>
      <c r="B333" s="3">
        <v>45275</v>
      </c>
      <c r="C333" t="s">
        <v>33</v>
      </c>
      <c r="D333" t="s">
        <v>7</v>
      </c>
      <c r="E333" s="13">
        <v>0.54513888888888884</v>
      </c>
      <c r="F333" t="s">
        <v>1217</v>
      </c>
    </row>
    <row r="334" spans="1:6" x14ac:dyDescent="0.25">
      <c r="A334">
        <v>438</v>
      </c>
      <c r="B334" s="3">
        <v>45226</v>
      </c>
      <c r="C334" t="s">
        <v>33</v>
      </c>
      <c r="D334" t="s">
        <v>7</v>
      </c>
      <c r="E334" s="13">
        <v>0.57847222222222228</v>
      </c>
      <c r="F334" t="s">
        <v>1217</v>
      </c>
    </row>
    <row r="335" spans="1:6" x14ac:dyDescent="0.25">
      <c r="A335">
        <v>438</v>
      </c>
      <c r="B335" s="3">
        <v>45233</v>
      </c>
      <c r="C335" t="s">
        <v>33</v>
      </c>
      <c r="D335" t="s">
        <v>7</v>
      </c>
      <c r="E335" s="13">
        <v>0.5541666666666667</v>
      </c>
      <c r="F335" t="s">
        <v>1217</v>
      </c>
    </row>
    <row r="336" spans="1:6" x14ac:dyDescent="0.25">
      <c r="A336">
        <v>438</v>
      </c>
      <c r="B336" s="3">
        <v>45240</v>
      </c>
      <c r="C336" t="s">
        <v>33</v>
      </c>
      <c r="D336" t="s">
        <v>7</v>
      </c>
      <c r="E336" s="13">
        <v>0.61388888888888893</v>
      </c>
      <c r="F336" t="s">
        <v>1218</v>
      </c>
    </row>
    <row r="337" spans="1:6" x14ac:dyDescent="0.25">
      <c r="A337">
        <v>439</v>
      </c>
      <c r="B337" s="3">
        <v>45226</v>
      </c>
      <c r="C337" t="s">
        <v>33</v>
      </c>
      <c r="D337" t="s">
        <v>7</v>
      </c>
      <c r="E337" s="13">
        <v>0.57708333333333328</v>
      </c>
      <c r="F337" t="s">
        <v>1217</v>
      </c>
    </row>
    <row r="338" spans="1:6" x14ac:dyDescent="0.25">
      <c r="A338">
        <v>439</v>
      </c>
      <c r="B338" s="3">
        <v>45282</v>
      </c>
      <c r="C338" t="s">
        <v>33</v>
      </c>
      <c r="D338" t="s">
        <v>7</v>
      </c>
      <c r="E338" s="13">
        <v>0.55000000000000004</v>
      </c>
      <c r="F338" t="s">
        <v>1217</v>
      </c>
    </row>
    <row r="339" spans="1:6" x14ac:dyDescent="0.25">
      <c r="A339">
        <v>443</v>
      </c>
      <c r="B339" s="3">
        <v>45226</v>
      </c>
      <c r="C339" t="s">
        <v>33</v>
      </c>
      <c r="D339" t="s">
        <v>7</v>
      </c>
      <c r="E339" s="13">
        <v>0.5805555555555556</v>
      </c>
      <c r="F339" t="s">
        <v>1217</v>
      </c>
    </row>
    <row r="340" spans="1:6" x14ac:dyDescent="0.25">
      <c r="A340">
        <v>443</v>
      </c>
      <c r="B340" s="3">
        <v>45233</v>
      </c>
      <c r="C340" t="s">
        <v>33</v>
      </c>
      <c r="D340" t="s">
        <v>7</v>
      </c>
      <c r="E340" s="13">
        <v>0.55069444444444449</v>
      </c>
      <c r="F340" t="s">
        <v>1217</v>
      </c>
    </row>
    <row r="341" spans="1:6" x14ac:dyDescent="0.25">
      <c r="A341">
        <v>443</v>
      </c>
      <c r="B341" s="3">
        <v>45282</v>
      </c>
      <c r="C341" t="s">
        <v>33</v>
      </c>
      <c r="D341" t="s">
        <v>7</v>
      </c>
      <c r="E341" s="13">
        <v>0.53611111111111109</v>
      </c>
      <c r="F341" t="s">
        <v>1217</v>
      </c>
    </row>
    <row r="342" spans="1:6" x14ac:dyDescent="0.25">
      <c r="A342">
        <v>444</v>
      </c>
      <c r="B342" s="3">
        <v>45219</v>
      </c>
      <c r="C342" t="s">
        <v>33</v>
      </c>
      <c r="D342" t="s">
        <v>7</v>
      </c>
      <c r="E342" s="13">
        <v>0.89930555555555558</v>
      </c>
      <c r="F342" t="s">
        <v>1217</v>
      </c>
    </row>
    <row r="343" spans="1:6" x14ac:dyDescent="0.25">
      <c r="A343">
        <v>444</v>
      </c>
      <c r="B343" s="3">
        <v>45226</v>
      </c>
      <c r="C343" t="s">
        <v>33</v>
      </c>
      <c r="D343" t="s">
        <v>7</v>
      </c>
      <c r="E343" s="13">
        <v>0.57499999999999996</v>
      </c>
      <c r="F343" t="s">
        <v>1217</v>
      </c>
    </row>
    <row r="344" spans="1:6" x14ac:dyDescent="0.25">
      <c r="A344">
        <v>444</v>
      </c>
      <c r="B344" s="3">
        <v>45233</v>
      </c>
      <c r="C344" t="s">
        <v>33</v>
      </c>
      <c r="D344" t="s">
        <v>7</v>
      </c>
      <c r="E344" s="13">
        <v>0.56111111111111112</v>
      </c>
      <c r="F344" t="s">
        <v>1217</v>
      </c>
    </row>
    <row r="345" spans="1:6" x14ac:dyDescent="0.25">
      <c r="A345">
        <v>444</v>
      </c>
      <c r="B345" s="3">
        <v>45247</v>
      </c>
      <c r="C345" t="s">
        <v>33</v>
      </c>
      <c r="D345" t="s">
        <v>7</v>
      </c>
      <c r="E345" s="13">
        <v>0.54791666666666672</v>
      </c>
      <c r="F345" t="s">
        <v>1218</v>
      </c>
    </row>
    <row r="346" spans="1:6" x14ac:dyDescent="0.25">
      <c r="A346">
        <v>444</v>
      </c>
      <c r="B346" s="3">
        <v>45254</v>
      </c>
      <c r="C346" t="s">
        <v>33</v>
      </c>
      <c r="D346" t="s">
        <v>7</v>
      </c>
      <c r="E346" s="13">
        <v>0.55486111111111114</v>
      </c>
      <c r="F346" t="s">
        <v>1217</v>
      </c>
    </row>
    <row r="347" spans="1:6" x14ac:dyDescent="0.25">
      <c r="A347">
        <v>444</v>
      </c>
      <c r="B347" s="3">
        <v>45261</v>
      </c>
      <c r="C347" t="s">
        <v>33</v>
      </c>
      <c r="D347" t="s">
        <v>7</v>
      </c>
      <c r="E347" s="13">
        <v>0.55625000000000002</v>
      </c>
      <c r="F347" t="s">
        <v>1217</v>
      </c>
    </row>
    <row r="348" spans="1:6" x14ac:dyDescent="0.25">
      <c r="A348">
        <v>444</v>
      </c>
      <c r="B348" s="3">
        <v>45268</v>
      </c>
      <c r="C348" t="s">
        <v>33</v>
      </c>
      <c r="D348" t="s">
        <v>7</v>
      </c>
      <c r="E348" s="13">
        <v>0.55972222222222223</v>
      </c>
      <c r="F348" t="s">
        <v>1217</v>
      </c>
    </row>
    <row r="349" spans="1:6" x14ac:dyDescent="0.25">
      <c r="A349">
        <v>444</v>
      </c>
      <c r="B349" s="3">
        <v>45275</v>
      </c>
      <c r="C349" t="s">
        <v>33</v>
      </c>
      <c r="D349" t="s">
        <v>7</v>
      </c>
      <c r="E349" s="13">
        <v>0.55208333333333337</v>
      </c>
      <c r="F349" t="s">
        <v>1217</v>
      </c>
    </row>
    <row r="350" spans="1:6" x14ac:dyDescent="0.25">
      <c r="A350">
        <v>444</v>
      </c>
      <c r="B350" s="3">
        <v>45282</v>
      </c>
      <c r="C350" t="s">
        <v>33</v>
      </c>
      <c r="D350" t="s">
        <v>7</v>
      </c>
      <c r="E350" s="13">
        <v>0.55555555555555558</v>
      </c>
      <c r="F350" t="s">
        <v>1217</v>
      </c>
    </row>
    <row r="351" spans="1:6" x14ac:dyDescent="0.25">
      <c r="A351">
        <v>445</v>
      </c>
      <c r="B351" s="3">
        <v>45219</v>
      </c>
      <c r="C351" t="s">
        <v>33</v>
      </c>
      <c r="D351" t="s">
        <v>7</v>
      </c>
      <c r="E351" s="13">
        <v>0.89861111111111114</v>
      </c>
      <c r="F351" t="s">
        <v>1217</v>
      </c>
    </row>
    <row r="352" spans="1:6" x14ac:dyDescent="0.25">
      <c r="A352">
        <v>445</v>
      </c>
      <c r="B352" s="3">
        <v>45226</v>
      </c>
      <c r="C352" t="s">
        <v>33</v>
      </c>
      <c r="D352" t="s">
        <v>7</v>
      </c>
      <c r="E352" s="13">
        <v>0.57638888888888884</v>
      </c>
      <c r="F352" t="s">
        <v>1217</v>
      </c>
    </row>
    <row r="353" spans="1:6" x14ac:dyDescent="0.25">
      <c r="A353">
        <v>445</v>
      </c>
      <c r="B353" s="3">
        <v>45233</v>
      </c>
      <c r="C353" t="s">
        <v>33</v>
      </c>
      <c r="D353" t="s">
        <v>7</v>
      </c>
      <c r="E353" s="13">
        <v>0.57916666666666672</v>
      </c>
      <c r="F353" t="s">
        <v>1218</v>
      </c>
    </row>
    <row r="354" spans="1:6" x14ac:dyDescent="0.25">
      <c r="A354">
        <v>445</v>
      </c>
      <c r="B354" s="3">
        <v>45240</v>
      </c>
      <c r="C354" t="s">
        <v>33</v>
      </c>
      <c r="D354" t="s">
        <v>7</v>
      </c>
      <c r="E354" s="13">
        <v>0.56319444444444444</v>
      </c>
      <c r="F354" t="s">
        <v>1218</v>
      </c>
    </row>
    <row r="355" spans="1:6" x14ac:dyDescent="0.25">
      <c r="A355">
        <v>445</v>
      </c>
      <c r="B355" s="3">
        <v>45247</v>
      </c>
      <c r="C355" t="s">
        <v>33</v>
      </c>
      <c r="D355" t="s">
        <v>7</v>
      </c>
      <c r="E355" s="13">
        <v>0.56319444444444444</v>
      </c>
      <c r="F355" t="s">
        <v>1218</v>
      </c>
    </row>
    <row r="356" spans="1:6" x14ac:dyDescent="0.25">
      <c r="A356">
        <v>445</v>
      </c>
      <c r="B356" s="3">
        <v>45261</v>
      </c>
      <c r="C356" t="s">
        <v>33</v>
      </c>
      <c r="D356" t="s">
        <v>7</v>
      </c>
      <c r="E356" s="13">
        <v>0.5625</v>
      </c>
      <c r="F356" t="s">
        <v>1217</v>
      </c>
    </row>
    <row r="357" spans="1:6" x14ac:dyDescent="0.25">
      <c r="A357">
        <v>445</v>
      </c>
      <c r="B357" s="3">
        <v>45275</v>
      </c>
      <c r="C357" t="s">
        <v>33</v>
      </c>
      <c r="D357" t="s">
        <v>7</v>
      </c>
      <c r="E357" s="13">
        <v>0.57222222222222219</v>
      </c>
      <c r="F357" t="s">
        <v>1218</v>
      </c>
    </row>
    <row r="358" spans="1:6" x14ac:dyDescent="0.25">
      <c r="A358">
        <v>445</v>
      </c>
      <c r="B358" s="3">
        <v>45282</v>
      </c>
      <c r="C358" t="s">
        <v>33</v>
      </c>
      <c r="D358" t="s">
        <v>7</v>
      </c>
      <c r="E358" s="13">
        <v>0.57291666666666663</v>
      </c>
      <c r="F358" t="s">
        <v>1218</v>
      </c>
    </row>
    <row r="359" spans="1:6" x14ac:dyDescent="0.25">
      <c r="A359">
        <v>446</v>
      </c>
      <c r="B359" s="3">
        <v>45268</v>
      </c>
      <c r="C359" t="s">
        <v>33</v>
      </c>
      <c r="D359" t="s">
        <v>7</v>
      </c>
      <c r="E359" s="13">
        <v>0.54236111111111107</v>
      </c>
      <c r="F359" t="s">
        <v>1217</v>
      </c>
    </row>
    <row r="360" spans="1:6" x14ac:dyDescent="0.25">
      <c r="A360">
        <v>448</v>
      </c>
      <c r="B360" s="3">
        <v>45240</v>
      </c>
      <c r="C360" t="s">
        <v>33</v>
      </c>
      <c r="D360" t="s">
        <v>7</v>
      </c>
      <c r="E360" s="13">
        <v>0.54652777777777772</v>
      </c>
      <c r="F360" t="s">
        <v>1217</v>
      </c>
    </row>
    <row r="361" spans="1:6" x14ac:dyDescent="0.25">
      <c r="A361">
        <v>450</v>
      </c>
      <c r="B361" s="3">
        <v>45226</v>
      </c>
      <c r="C361" t="s">
        <v>33</v>
      </c>
      <c r="D361" t="s">
        <v>7</v>
      </c>
      <c r="E361" s="13">
        <v>0.57638888888888884</v>
      </c>
      <c r="F361" t="s">
        <v>1217</v>
      </c>
    </row>
    <row r="362" spans="1:6" x14ac:dyDescent="0.25">
      <c r="A362">
        <v>450</v>
      </c>
      <c r="B362" s="3">
        <v>45233</v>
      </c>
      <c r="C362" t="s">
        <v>33</v>
      </c>
      <c r="D362" t="s">
        <v>7</v>
      </c>
      <c r="E362" s="13">
        <v>0.57638888888888884</v>
      </c>
      <c r="F362" t="s">
        <v>1218</v>
      </c>
    </row>
    <row r="363" spans="1:6" x14ac:dyDescent="0.25">
      <c r="A363">
        <v>450</v>
      </c>
      <c r="B363" s="3">
        <v>45240</v>
      </c>
      <c r="C363" t="s">
        <v>33</v>
      </c>
      <c r="D363" t="s">
        <v>7</v>
      </c>
      <c r="E363" s="13">
        <v>0.54374999999999996</v>
      </c>
      <c r="F363" t="s">
        <v>1217</v>
      </c>
    </row>
    <row r="364" spans="1:6" x14ac:dyDescent="0.25">
      <c r="A364">
        <v>450</v>
      </c>
      <c r="B364" s="3">
        <v>45254</v>
      </c>
      <c r="C364" t="s">
        <v>33</v>
      </c>
      <c r="D364" t="s">
        <v>7</v>
      </c>
      <c r="E364" s="13">
        <v>0.56874999999999998</v>
      </c>
      <c r="F364" t="s">
        <v>1218</v>
      </c>
    </row>
    <row r="365" spans="1:6" x14ac:dyDescent="0.25">
      <c r="A365">
        <v>450</v>
      </c>
      <c r="B365" s="3">
        <v>45261</v>
      </c>
      <c r="C365" t="s">
        <v>33</v>
      </c>
      <c r="D365" t="s">
        <v>7</v>
      </c>
      <c r="E365" s="13">
        <v>0.57013888888888886</v>
      </c>
      <c r="F365" t="s">
        <v>1218</v>
      </c>
    </row>
    <row r="366" spans="1:6" x14ac:dyDescent="0.25">
      <c r="A366">
        <v>450</v>
      </c>
      <c r="B366" s="3">
        <v>45268</v>
      </c>
      <c r="C366" t="s">
        <v>33</v>
      </c>
      <c r="D366" t="s">
        <v>7</v>
      </c>
      <c r="E366" s="13">
        <v>0.54166666666666663</v>
      </c>
      <c r="F366" t="s">
        <v>1217</v>
      </c>
    </row>
    <row r="367" spans="1:6" x14ac:dyDescent="0.25">
      <c r="A367">
        <v>450</v>
      </c>
      <c r="B367" s="3">
        <v>45282</v>
      </c>
      <c r="C367" t="s">
        <v>33</v>
      </c>
      <c r="D367" t="s">
        <v>7</v>
      </c>
      <c r="E367" s="13">
        <v>0.54027777777777775</v>
      </c>
      <c r="F367" t="s">
        <v>1217</v>
      </c>
    </row>
    <row r="368" spans="1:6" x14ac:dyDescent="0.25">
      <c r="A368">
        <v>451</v>
      </c>
      <c r="B368" s="3">
        <v>45219</v>
      </c>
      <c r="C368" t="s">
        <v>33</v>
      </c>
      <c r="D368" t="s">
        <v>7</v>
      </c>
      <c r="E368" s="13">
        <v>0.89861111111111114</v>
      </c>
      <c r="F368" t="s">
        <v>1217</v>
      </c>
    </row>
    <row r="369" spans="1:6" x14ac:dyDescent="0.25">
      <c r="A369">
        <v>451</v>
      </c>
      <c r="B369" s="3">
        <v>45226</v>
      </c>
      <c r="C369" t="s">
        <v>33</v>
      </c>
      <c r="D369" t="s">
        <v>7</v>
      </c>
      <c r="E369" s="13">
        <v>0.57638888888888884</v>
      </c>
      <c r="F369" t="s">
        <v>1217</v>
      </c>
    </row>
    <row r="370" spans="1:6" x14ac:dyDescent="0.25">
      <c r="A370">
        <v>451</v>
      </c>
      <c r="B370" s="3">
        <v>45240</v>
      </c>
      <c r="C370" t="s">
        <v>33</v>
      </c>
      <c r="D370" t="s">
        <v>7</v>
      </c>
      <c r="E370" s="13">
        <v>0.54374999999999996</v>
      </c>
      <c r="F370" t="s">
        <v>1217</v>
      </c>
    </row>
    <row r="371" spans="1:6" x14ac:dyDescent="0.25">
      <c r="A371">
        <v>451</v>
      </c>
      <c r="B371" s="3">
        <v>45254</v>
      </c>
      <c r="C371" t="s">
        <v>33</v>
      </c>
      <c r="D371" t="s">
        <v>7</v>
      </c>
      <c r="E371" s="13">
        <v>0.56874999999999998</v>
      </c>
      <c r="F371" t="s">
        <v>1218</v>
      </c>
    </row>
    <row r="372" spans="1:6" x14ac:dyDescent="0.25">
      <c r="A372">
        <v>502</v>
      </c>
      <c r="B372" s="3">
        <v>45205</v>
      </c>
      <c r="C372" t="s">
        <v>33</v>
      </c>
      <c r="D372" t="s">
        <v>34</v>
      </c>
      <c r="E372" s="13">
        <v>0.62430555555555556</v>
      </c>
      <c r="F372" t="s">
        <v>1217</v>
      </c>
    </row>
    <row r="373" spans="1:6" x14ac:dyDescent="0.25">
      <c r="A373">
        <v>502</v>
      </c>
      <c r="B373" s="3">
        <v>45212</v>
      </c>
      <c r="C373" t="s">
        <v>33</v>
      </c>
      <c r="D373" t="s">
        <v>34</v>
      </c>
      <c r="E373" s="13">
        <v>0.55069444444444449</v>
      </c>
      <c r="F373" t="s">
        <v>1217</v>
      </c>
    </row>
    <row r="374" spans="1:6" x14ac:dyDescent="0.25">
      <c r="A374">
        <v>502</v>
      </c>
      <c r="B374" s="3">
        <v>45219</v>
      </c>
      <c r="C374" t="s">
        <v>33</v>
      </c>
      <c r="D374" t="s">
        <v>34</v>
      </c>
      <c r="E374" s="13">
        <v>0.9</v>
      </c>
      <c r="F374" t="s">
        <v>1217</v>
      </c>
    </row>
    <row r="375" spans="1:6" x14ac:dyDescent="0.25">
      <c r="A375">
        <v>502</v>
      </c>
      <c r="B375" s="3">
        <v>45261</v>
      </c>
      <c r="C375" t="s">
        <v>33</v>
      </c>
      <c r="D375" t="s">
        <v>34</v>
      </c>
      <c r="E375" s="13">
        <v>0.54583333333333328</v>
      </c>
      <c r="F375" t="s">
        <v>1217</v>
      </c>
    </row>
    <row r="376" spans="1:6" x14ac:dyDescent="0.25">
      <c r="A376">
        <v>502</v>
      </c>
      <c r="B376" s="3">
        <v>45268</v>
      </c>
      <c r="C376" t="s">
        <v>33</v>
      </c>
      <c r="D376" t="s">
        <v>34</v>
      </c>
      <c r="E376" s="13">
        <v>0.60555555555555551</v>
      </c>
      <c r="F376" t="s">
        <v>1218</v>
      </c>
    </row>
    <row r="377" spans="1:6" x14ac:dyDescent="0.25">
      <c r="A377">
        <v>502</v>
      </c>
      <c r="B377" s="3">
        <v>45282</v>
      </c>
      <c r="C377" t="s">
        <v>33</v>
      </c>
      <c r="D377" t="s">
        <v>34</v>
      </c>
      <c r="E377" s="13">
        <v>0.61527777777777781</v>
      </c>
      <c r="F377" t="s">
        <v>1218</v>
      </c>
    </row>
    <row r="378" spans="1:6" x14ac:dyDescent="0.25">
      <c r="A378">
        <v>503</v>
      </c>
      <c r="B378" s="3">
        <v>45198</v>
      </c>
      <c r="C378" t="s">
        <v>33</v>
      </c>
      <c r="D378" t="s">
        <v>34</v>
      </c>
      <c r="E378" s="13">
        <v>0.6166666666666667</v>
      </c>
      <c r="F378" t="s">
        <v>1217</v>
      </c>
    </row>
    <row r="379" spans="1:6" x14ac:dyDescent="0.25">
      <c r="A379">
        <v>503</v>
      </c>
      <c r="B379" s="3">
        <v>45205</v>
      </c>
      <c r="C379" t="s">
        <v>33</v>
      </c>
      <c r="D379" t="s">
        <v>34</v>
      </c>
      <c r="E379" s="13">
        <v>0.625</v>
      </c>
      <c r="F379" t="s">
        <v>1217</v>
      </c>
    </row>
    <row r="380" spans="1:6" x14ac:dyDescent="0.25">
      <c r="A380">
        <v>503</v>
      </c>
      <c r="B380" s="3">
        <v>45212</v>
      </c>
      <c r="C380" t="s">
        <v>33</v>
      </c>
      <c r="D380" t="s">
        <v>34</v>
      </c>
      <c r="E380" s="13">
        <v>0.55069444444444449</v>
      </c>
      <c r="F380" t="s">
        <v>1217</v>
      </c>
    </row>
    <row r="381" spans="1:6" x14ac:dyDescent="0.25">
      <c r="A381">
        <v>503</v>
      </c>
      <c r="B381" s="3">
        <v>45219</v>
      </c>
      <c r="C381" t="s">
        <v>33</v>
      </c>
      <c r="D381" t="s">
        <v>34</v>
      </c>
      <c r="E381" s="13">
        <v>0.9</v>
      </c>
      <c r="F381" t="s">
        <v>1217</v>
      </c>
    </row>
    <row r="382" spans="1:6" x14ac:dyDescent="0.25">
      <c r="A382">
        <v>503</v>
      </c>
      <c r="B382" s="3">
        <v>45226</v>
      </c>
      <c r="C382" t="s">
        <v>33</v>
      </c>
      <c r="D382" t="s">
        <v>34</v>
      </c>
      <c r="E382" s="13">
        <v>0.62916666666666665</v>
      </c>
      <c r="F382" t="s">
        <v>1217</v>
      </c>
    </row>
    <row r="383" spans="1:6" x14ac:dyDescent="0.25">
      <c r="A383">
        <v>503</v>
      </c>
      <c r="B383" s="3">
        <v>45240</v>
      </c>
      <c r="C383" t="s">
        <v>33</v>
      </c>
      <c r="D383" t="s">
        <v>34</v>
      </c>
      <c r="E383" s="13">
        <v>0.55763888888888891</v>
      </c>
      <c r="F383" t="s">
        <v>1217</v>
      </c>
    </row>
    <row r="384" spans="1:6" x14ac:dyDescent="0.25">
      <c r="A384">
        <v>503</v>
      </c>
      <c r="B384" s="3">
        <v>45254</v>
      </c>
      <c r="C384" t="s">
        <v>33</v>
      </c>
      <c r="D384" t="s">
        <v>34</v>
      </c>
      <c r="E384" s="13">
        <v>0.53680555555555554</v>
      </c>
      <c r="F384" t="s">
        <v>1217</v>
      </c>
    </row>
    <row r="385" spans="1:6" x14ac:dyDescent="0.25">
      <c r="A385">
        <v>503</v>
      </c>
      <c r="B385" s="3">
        <v>45268</v>
      </c>
      <c r="C385" t="s">
        <v>33</v>
      </c>
      <c r="D385" t="s">
        <v>34</v>
      </c>
      <c r="E385" s="13">
        <v>0.54097222222222219</v>
      </c>
      <c r="F385" t="s">
        <v>1217</v>
      </c>
    </row>
    <row r="386" spans="1:6" x14ac:dyDescent="0.25">
      <c r="A386">
        <v>503</v>
      </c>
      <c r="B386" s="3">
        <v>45282</v>
      </c>
      <c r="C386" t="s">
        <v>33</v>
      </c>
      <c r="D386" t="s">
        <v>34</v>
      </c>
      <c r="E386" s="13">
        <v>0.5444444444444444</v>
      </c>
      <c r="F386" t="s">
        <v>1217</v>
      </c>
    </row>
    <row r="387" spans="1:6" x14ac:dyDescent="0.25">
      <c r="A387">
        <v>504</v>
      </c>
      <c r="B387" s="3">
        <v>45198</v>
      </c>
      <c r="C387" t="s">
        <v>33</v>
      </c>
      <c r="D387" t="s">
        <v>34</v>
      </c>
      <c r="E387" s="13">
        <v>0.62222222222222223</v>
      </c>
      <c r="F387" t="s">
        <v>1218</v>
      </c>
    </row>
    <row r="388" spans="1:6" x14ac:dyDescent="0.25">
      <c r="A388">
        <v>504</v>
      </c>
      <c r="B388" s="3">
        <v>45212</v>
      </c>
      <c r="C388" t="s">
        <v>33</v>
      </c>
      <c r="D388" t="s">
        <v>34</v>
      </c>
      <c r="E388" s="13">
        <v>0.60277777777777775</v>
      </c>
      <c r="F388" t="s">
        <v>1218</v>
      </c>
    </row>
    <row r="389" spans="1:6" x14ac:dyDescent="0.25">
      <c r="A389">
        <v>504</v>
      </c>
      <c r="B389" s="3">
        <v>45219</v>
      </c>
      <c r="C389" t="s">
        <v>33</v>
      </c>
      <c r="D389" t="s">
        <v>34</v>
      </c>
      <c r="E389" s="13">
        <v>0.9</v>
      </c>
      <c r="F389" t="s">
        <v>1217</v>
      </c>
    </row>
    <row r="390" spans="1:6" x14ac:dyDescent="0.25">
      <c r="A390">
        <v>504</v>
      </c>
      <c r="B390" s="3">
        <v>45254</v>
      </c>
      <c r="C390" t="s">
        <v>33</v>
      </c>
      <c r="D390" t="s">
        <v>34</v>
      </c>
      <c r="E390" s="13">
        <v>0.5395833333333333</v>
      </c>
      <c r="F390" t="s">
        <v>1217</v>
      </c>
    </row>
    <row r="391" spans="1:6" x14ac:dyDescent="0.25">
      <c r="A391">
        <v>504</v>
      </c>
      <c r="B391" s="3">
        <v>45261</v>
      </c>
      <c r="C391" t="s">
        <v>33</v>
      </c>
      <c r="D391" t="s">
        <v>34</v>
      </c>
      <c r="E391" s="13">
        <v>0.54652777777777772</v>
      </c>
      <c r="F391" t="s">
        <v>1217</v>
      </c>
    </row>
    <row r="392" spans="1:6" x14ac:dyDescent="0.25">
      <c r="A392">
        <v>504</v>
      </c>
      <c r="B392" s="3">
        <v>45268</v>
      </c>
      <c r="C392" t="s">
        <v>33</v>
      </c>
      <c r="D392" t="s">
        <v>34</v>
      </c>
      <c r="E392" s="13">
        <v>0.5493055555555556</v>
      </c>
      <c r="F392" t="s">
        <v>1217</v>
      </c>
    </row>
    <row r="393" spans="1:6" x14ac:dyDescent="0.25">
      <c r="A393">
        <v>504</v>
      </c>
      <c r="B393" s="3">
        <v>45275</v>
      </c>
      <c r="C393" t="s">
        <v>33</v>
      </c>
      <c r="D393" t="s">
        <v>34</v>
      </c>
      <c r="E393" s="13">
        <v>0.60347222222222219</v>
      </c>
      <c r="F393" t="s">
        <v>1218</v>
      </c>
    </row>
    <row r="394" spans="1:6" x14ac:dyDescent="0.25">
      <c r="A394">
        <v>504</v>
      </c>
      <c r="B394" s="3">
        <v>45282</v>
      </c>
      <c r="C394" t="s">
        <v>33</v>
      </c>
      <c r="D394" t="s">
        <v>34</v>
      </c>
      <c r="E394" s="13">
        <v>0.53819444444444442</v>
      </c>
      <c r="F394" t="s">
        <v>1217</v>
      </c>
    </row>
    <row r="395" spans="1:6" x14ac:dyDescent="0.25">
      <c r="A395">
        <v>511</v>
      </c>
      <c r="B395" s="3">
        <v>45275</v>
      </c>
      <c r="C395" t="s">
        <v>33</v>
      </c>
      <c r="D395" t="s">
        <v>8</v>
      </c>
      <c r="E395" s="13">
        <v>0.54791666666666672</v>
      </c>
      <c r="F395" t="s">
        <v>1217</v>
      </c>
    </row>
    <row r="396" spans="1:6" x14ac:dyDescent="0.25">
      <c r="A396">
        <v>515</v>
      </c>
      <c r="B396" s="3">
        <v>45219</v>
      </c>
      <c r="C396" t="s">
        <v>33</v>
      </c>
      <c r="D396" t="s">
        <v>8</v>
      </c>
      <c r="E396" s="13">
        <v>0.89861111111111114</v>
      </c>
      <c r="F396" t="s">
        <v>1217</v>
      </c>
    </row>
    <row r="397" spans="1:6" x14ac:dyDescent="0.25">
      <c r="A397">
        <v>515</v>
      </c>
      <c r="B397" s="3">
        <v>45226</v>
      </c>
      <c r="C397" t="s">
        <v>33</v>
      </c>
      <c r="D397" t="s">
        <v>8</v>
      </c>
      <c r="E397" s="13">
        <v>0.57430555555555551</v>
      </c>
      <c r="F397" t="s">
        <v>1217</v>
      </c>
    </row>
    <row r="398" spans="1:6" x14ac:dyDescent="0.25">
      <c r="A398">
        <v>515</v>
      </c>
      <c r="B398" s="3">
        <v>45233</v>
      </c>
      <c r="C398" t="s">
        <v>33</v>
      </c>
      <c r="D398" t="s">
        <v>8</v>
      </c>
      <c r="E398" s="13">
        <v>0.55833333333333335</v>
      </c>
      <c r="F398" t="s">
        <v>1217</v>
      </c>
    </row>
    <row r="399" spans="1:6" x14ac:dyDescent="0.25">
      <c r="A399">
        <v>519</v>
      </c>
      <c r="B399" s="3">
        <v>45219</v>
      </c>
      <c r="C399" t="s">
        <v>33</v>
      </c>
      <c r="D399" t="s">
        <v>8</v>
      </c>
      <c r="E399" s="13">
        <v>0.9</v>
      </c>
      <c r="F399" t="s">
        <v>1217</v>
      </c>
    </row>
    <row r="400" spans="1:6" x14ac:dyDescent="0.25">
      <c r="A400">
        <v>519</v>
      </c>
      <c r="B400" s="3">
        <v>45240</v>
      </c>
      <c r="C400" t="s">
        <v>33</v>
      </c>
      <c r="D400" t="s">
        <v>8</v>
      </c>
      <c r="E400" s="13">
        <v>0.55555555555555558</v>
      </c>
      <c r="F400" t="s">
        <v>1217</v>
      </c>
    </row>
    <row r="401" spans="1:6" x14ac:dyDescent="0.25">
      <c r="A401">
        <v>519</v>
      </c>
      <c r="B401" s="3">
        <v>45268</v>
      </c>
      <c r="C401" t="s">
        <v>33</v>
      </c>
      <c r="D401" t="s">
        <v>8</v>
      </c>
      <c r="E401" s="13">
        <v>0.57847222222222228</v>
      </c>
      <c r="F401" t="s">
        <v>1218</v>
      </c>
    </row>
    <row r="402" spans="1:6" x14ac:dyDescent="0.25">
      <c r="A402">
        <v>525</v>
      </c>
      <c r="B402" s="3">
        <v>45226</v>
      </c>
      <c r="C402" t="s">
        <v>33</v>
      </c>
      <c r="D402" t="s">
        <v>8</v>
      </c>
      <c r="E402" s="13">
        <v>0.57916666666666672</v>
      </c>
      <c r="F402" t="s">
        <v>1217</v>
      </c>
    </row>
    <row r="403" spans="1:6" x14ac:dyDescent="0.25">
      <c r="A403">
        <v>525</v>
      </c>
      <c r="B403" s="3">
        <v>45240</v>
      </c>
      <c r="C403" t="s">
        <v>33</v>
      </c>
      <c r="D403" t="s">
        <v>8</v>
      </c>
      <c r="E403" s="13">
        <v>0.56041666666666667</v>
      </c>
      <c r="F403" t="s">
        <v>1217</v>
      </c>
    </row>
    <row r="404" spans="1:6" x14ac:dyDescent="0.25">
      <c r="A404">
        <v>525</v>
      </c>
      <c r="B404" s="3">
        <v>45261</v>
      </c>
      <c r="C404" t="s">
        <v>33</v>
      </c>
      <c r="D404" t="s">
        <v>8</v>
      </c>
      <c r="E404" s="13">
        <v>0.55208333333333337</v>
      </c>
      <c r="F404" t="s">
        <v>1217</v>
      </c>
    </row>
    <row r="405" spans="1:6" x14ac:dyDescent="0.25">
      <c r="A405">
        <v>525</v>
      </c>
      <c r="B405" s="3">
        <v>45282</v>
      </c>
      <c r="C405" t="s">
        <v>33</v>
      </c>
      <c r="D405" t="s">
        <v>8</v>
      </c>
      <c r="E405" s="13">
        <v>0.53541666666666665</v>
      </c>
      <c r="F405" t="s">
        <v>1217</v>
      </c>
    </row>
    <row r="406" spans="1:6" x14ac:dyDescent="0.25">
      <c r="A406">
        <v>530</v>
      </c>
      <c r="B406" s="3">
        <v>45268</v>
      </c>
      <c r="C406" t="s">
        <v>33</v>
      </c>
      <c r="D406" t="s">
        <v>8</v>
      </c>
      <c r="E406" s="13">
        <v>0.60902777777777772</v>
      </c>
      <c r="F406" t="s">
        <v>1218</v>
      </c>
    </row>
    <row r="407" spans="1:6" x14ac:dyDescent="0.25">
      <c r="A407">
        <v>532</v>
      </c>
      <c r="B407" s="3">
        <v>45219</v>
      </c>
      <c r="C407" t="s">
        <v>33</v>
      </c>
      <c r="D407" t="s">
        <v>8</v>
      </c>
      <c r="E407" s="13">
        <v>0.89861111111111114</v>
      </c>
      <c r="F407" t="s">
        <v>1217</v>
      </c>
    </row>
    <row r="408" spans="1:6" x14ac:dyDescent="0.25">
      <c r="A408">
        <v>532</v>
      </c>
      <c r="B408" s="3">
        <v>45233</v>
      </c>
      <c r="C408" t="s">
        <v>33</v>
      </c>
      <c r="D408" t="s">
        <v>8</v>
      </c>
      <c r="E408" s="13">
        <v>0.55138888888888893</v>
      </c>
      <c r="F408" t="s">
        <v>1217</v>
      </c>
    </row>
    <row r="409" spans="1:6" x14ac:dyDescent="0.25">
      <c r="A409">
        <v>533</v>
      </c>
      <c r="B409" s="3">
        <v>45268</v>
      </c>
      <c r="C409" t="s">
        <v>33</v>
      </c>
      <c r="D409" t="s">
        <v>8</v>
      </c>
      <c r="E409" s="13">
        <v>0.5493055555555556</v>
      </c>
      <c r="F409" t="s">
        <v>1217</v>
      </c>
    </row>
    <row r="410" spans="1:6" x14ac:dyDescent="0.25">
      <c r="A410">
        <v>602</v>
      </c>
      <c r="B410" s="3">
        <v>45226</v>
      </c>
      <c r="C410" t="s">
        <v>33</v>
      </c>
      <c r="D410" t="s">
        <v>34</v>
      </c>
      <c r="E410" s="13">
        <v>0.62986111111111109</v>
      </c>
      <c r="F410" t="s">
        <v>1217</v>
      </c>
    </row>
    <row r="411" spans="1:6" x14ac:dyDescent="0.25">
      <c r="A411">
        <v>602</v>
      </c>
      <c r="B411" s="3">
        <v>45240</v>
      </c>
      <c r="C411" t="s">
        <v>33</v>
      </c>
      <c r="D411" t="s">
        <v>34</v>
      </c>
      <c r="E411" s="13">
        <v>0.54583333333333328</v>
      </c>
      <c r="F411" t="s">
        <v>1217</v>
      </c>
    </row>
    <row r="412" spans="1:6" x14ac:dyDescent="0.25">
      <c r="A412">
        <v>602</v>
      </c>
      <c r="B412" s="3">
        <v>45254</v>
      </c>
      <c r="C412" t="s">
        <v>33</v>
      </c>
      <c r="D412" t="s">
        <v>34</v>
      </c>
      <c r="E412" s="13">
        <v>0.55694444444444446</v>
      </c>
      <c r="F412" t="s">
        <v>1217</v>
      </c>
    </row>
    <row r="413" spans="1:6" x14ac:dyDescent="0.25">
      <c r="A413">
        <v>602</v>
      </c>
      <c r="B413" s="3">
        <v>45261</v>
      </c>
      <c r="C413" t="s">
        <v>33</v>
      </c>
      <c r="D413" t="s">
        <v>34</v>
      </c>
      <c r="E413" s="13">
        <v>0.55069444444444449</v>
      </c>
      <c r="F413" t="s">
        <v>1217</v>
      </c>
    </row>
    <row r="414" spans="1:6" x14ac:dyDescent="0.25">
      <c r="A414">
        <v>602</v>
      </c>
      <c r="B414" s="3">
        <v>45268</v>
      </c>
      <c r="C414" t="s">
        <v>33</v>
      </c>
      <c r="D414" t="s">
        <v>34</v>
      </c>
      <c r="E414" s="13">
        <v>0.55138888888888893</v>
      </c>
      <c r="F414" t="s">
        <v>1217</v>
      </c>
    </row>
    <row r="415" spans="1:6" x14ac:dyDescent="0.25">
      <c r="A415">
        <v>602</v>
      </c>
      <c r="B415" s="3">
        <v>45275</v>
      </c>
      <c r="C415" t="s">
        <v>33</v>
      </c>
      <c r="D415" t="s">
        <v>34</v>
      </c>
      <c r="E415" s="13">
        <v>0.54652777777777772</v>
      </c>
      <c r="F415" t="s">
        <v>1217</v>
      </c>
    </row>
    <row r="416" spans="1:6" x14ac:dyDescent="0.25">
      <c r="A416">
        <v>602</v>
      </c>
      <c r="B416" s="3">
        <v>45282</v>
      </c>
      <c r="C416" t="s">
        <v>33</v>
      </c>
      <c r="D416" t="s">
        <v>34</v>
      </c>
      <c r="E416" s="13">
        <v>0.5395833333333333</v>
      </c>
      <c r="F416" t="s">
        <v>1217</v>
      </c>
    </row>
    <row r="417" spans="1:6" x14ac:dyDescent="0.25">
      <c r="A417">
        <v>603</v>
      </c>
      <c r="B417" s="3">
        <v>45198</v>
      </c>
      <c r="C417" t="s">
        <v>33</v>
      </c>
      <c r="D417" t="s">
        <v>34</v>
      </c>
      <c r="E417" s="13">
        <v>0.62222222222222223</v>
      </c>
      <c r="F417" t="s">
        <v>1218</v>
      </c>
    </row>
    <row r="418" spans="1:6" x14ac:dyDescent="0.25">
      <c r="A418">
        <v>603</v>
      </c>
      <c r="B418" s="3">
        <v>45205</v>
      </c>
      <c r="C418" t="s">
        <v>33</v>
      </c>
      <c r="D418" t="s">
        <v>34</v>
      </c>
      <c r="E418" s="13">
        <v>0.62569444444444444</v>
      </c>
      <c r="F418" t="s">
        <v>1217</v>
      </c>
    </row>
    <row r="419" spans="1:6" x14ac:dyDescent="0.25">
      <c r="A419">
        <v>603</v>
      </c>
      <c r="B419" s="3">
        <v>45212</v>
      </c>
      <c r="C419" t="s">
        <v>33</v>
      </c>
      <c r="D419" t="s">
        <v>34</v>
      </c>
      <c r="E419" s="13">
        <v>0.55555555555555558</v>
      </c>
      <c r="F419" t="s">
        <v>1218</v>
      </c>
    </row>
    <row r="420" spans="1:6" x14ac:dyDescent="0.25">
      <c r="A420">
        <v>603</v>
      </c>
      <c r="B420" s="3">
        <v>45226</v>
      </c>
      <c r="C420" t="s">
        <v>33</v>
      </c>
      <c r="D420" t="s">
        <v>34</v>
      </c>
      <c r="E420" s="13">
        <v>0.63055555555555554</v>
      </c>
      <c r="F420" t="s">
        <v>1217</v>
      </c>
    </row>
    <row r="421" spans="1:6" x14ac:dyDescent="0.25">
      <c r="A421">
        <v>603</v>
      </c>
      <c r="B421" s="3">
        <v>45261</v>
      </c>
      <c r="C421" t="s">
        <v>33</v>
      </c>
      <c r="D421" t="s">
        <v>34</v>
      </c>
      <c r="E421" s="13">
        <v>0.56597222222222221</v>
      </c>
      <c r="F421" t="s">
        <v>1218</v>
      </c>
    </row>
    <row r="422" spans="1:6" x14ac:dyDescent="0.25">
      <c r="A422">
        <v>603</v>
      </c>
      <c r="B422" s="3">
        <v>45282</v>
      </c>
      <c r="C422" t="s">
        <v>33</v>
      </c>
      <c r="D422" t="s">
        <v>34</v>
      </c>
      <c r="E422" s="13">
        <v>0.5708333333333333</v>
      </c>
      <c r="F422" t="s">
        <v>1218</v>
      </c>
    </row>
    <row r="423" spans="1:6" x14ac:dyDescent="0.25">
      <c r="A423">
        <v>610</v>
      </c>
      <c r="B423" s="3">
        <v>45240</v>
      </c>
      <c r="C423" t="s">
        <v>33</v>
      </c>
      <c r="D423" t="s">
        <v>9</v>
      </c>
      <c r="E423" s="13">
        <v>0.5444444444444444</v>
      </c>
      <c r="F423" t="s">
        <v>1217</v>
      </c>
    </row>
    <row r="424" spans="1:6" x14ac:dyDescent="0.25">
      <c r="A424">
        <v>610</v>
      </c>
      <c r="B424" s="3">
        <v>45254</v>
      </c>
      <c r="C424" t="s">
        <v>33</v>
      </c>
      <c r="D424" t="s">
        <v>9</v>
      </c>
      <c r="E424" s="13">
        <v>0.55694444444444446</v>
      </c>
      <c r="F424" t="s">
        <v>1217</v>
      </c>
    </row>
    <row r="425" spans="1:6" x14ac:dyDescent="0.25">
      <c r="A425">
        <v>610</v>
      </c>
      <c r="B425" s="3">
        <v>45261</v>
      </c>
      <c r="C425" t="s">
        <v>33</v>
      </c>
      <c r="D425" t="s">
        <v>9</v>
      </c>
      <c r="E425" s="13">
        <v>0.5493055555555556</v>
      </c>
      <c r="F425" t="s">
        <v>1217</v>
      </c>
    </row>
    <row r="426" spans="1:6" x14ac:dyDescent="0.25">
      <c r="A426">
        <v>610</v>
      </c>
      <c r="B426" s="3">
        <v>45268</v>
      </c>
      <c r="C426" t="s">
        <v>33</v>
      </c>
      <c r="D426" t="s">
        <v>9</v>
      </c>
      <c r="E426" s="13">
        <v>0.55763888888888891</v>
      </c>
      <c r="F426" t="s">
        <v>1217</v>
      </c>
    </row>
    <row r="427" spans="1:6" x14ac:dyDescent="0.25">
      <c r="A427">
        <v>610</v>
      </c>
      <c r="B427" s="3">
        <v>45275</v>
      </c>
      <c r="C427" t="s">
        <v>33</v>
      </c>
      <c r="D427" t="s">
        <v>9</v>
      </c>
      <c r="E427" s="13">
        <v>0.54652777777777772</v>
      </c>
      <c r="F427" t="s">
        <v>1217</v>
      </c>
    </row>
    <row r="428" spans="1:6" x14ac:dyDescent="0.25">
      <c r="A428">
        <v>610</v>
      </c>
      <c r="B428" s="3">
        <v>45282</v>
      </c>
      <c r="C428" t="s">
        <v>33</v>
      </c>
      <c r="D428" t="s">
        <v>9</v>
      </c>
      <c r="E428" s="13">
        <v>0.53402777777777777</v>
      </c>
      <c r="F428" t="s">
        <v>1217</v>
      </c>
    </row>
    <row r="429" spans="1:6" x14ac:dyDescent="0.25">
      <c r="A429">
        <v>611</v>
      </c>
      <c r="B429" s="3">
        <v>45247</v>
      </c>
      <c r="C429" t="s">
        <v>33</v>
      </c>
      <c r="D429" t="s">
        <v>9</v>
      </c>
      <c r="E429" s="13">
        <v>0.56180555555555556</v>
      </c>
      <c r="F429" t="s">
        <v>1218</v>
      </c>
    </row>
    <row r="430" spans="1:6" x14ac:dyDescent="0.25">
      <c r="A430">
        <v>611</v>
      </c>
      <c r="B430" s="3">
        <v>45254</v>
      </c>
      <c r="C430" t="s">
        <v>33</v>
      </c>
      <c r="D430" t="s">
        <v>9</v>
      </c>
      <c r="E430" s="13">
        <v>0.55694444444444446</v>
      </c>
      <c r="F430" t="s">
        <v>1217</v>
      </c>
    </row>
    <row r="431" spans="1:6" x14ac:dyDescent="0.25">
      <c r="A431">
        <v>611</v>
      </c>
      <c r="B431" s="3">
        <v>45268</v>
      </c>
      <c r="C431" t="s">
        <v>33</v>
      </c>
      <c r="D431" t="s">
        <v>9</v>
      </c>
      <c r="E431" s="13">
        <v>0.55763888888888891</v>
      </c>
      <c r="F431" t="s">
        <v>1217</v>
      </c>
    </row>
    <row r="432" spans="1:6" x14ac:dyDescent="0.25">
      <c r="A432">
        <v>611</v>
      </c>
      <c r="B432" s="3">
        <v>45275</v>
      </c>
      <c r="C432" t="s">
        <v>33</v>
      </c>
      <c r="D432" t="s">
        <v>9</v>
      </c>
      <c r="E432" s="13">
        <v>0.54652777777777772</v>
      </c>
      <c r="F432" t="s">
        <v>1217</v>
      </c>
    </row>
    <row r="433" spans="1:6" x14ac:dyDescent="0.25">
      <c r="A433">
        <v>612</v>
      </c>
      <c r="B433" s="3">
        <v>45240</v>
      </c>
      <c r="C433" t="s">
        <v>33</v>
      </c>
      <c r="D433" t="s">
        <v>9</v>
      </c>
      <c r="E433" s="13">
        <v>0.54513888888888884</v>
      </c>
      <c r="F433" t="s">
        <v>1217</v>
      </c>
    </row>
    <row r="434" spans="1:6" x14ac:dyDescent="0.25">
      <c r="A434">
        <v>612</v>
      </c>
      <c r="B434" s="3">
        <v>45254</v>
      </c>
      <c r="C434" t="s">
        <v>33</v>
      </c>
      <c r="D434" t="s">
        <v>9</v>
      </c>
      <c r="E434" s="13">
        <v>0.54166666666666663</v>
      </c>
      <c r="F434" t="s">
        <v>1217</v>
      </c>
    </row>
    <row r="435" spans="1:6" x14ac:dyDescent="0.25">
      <c r="A435">
        <v>612</v>
      </c>
      <c r="B435" s="3">
        <v>45268</v>
      </c>
      <c r="C435" t="s">
        <v>33</v>
      </c>
      <c r="D435" t="s">
        <v>9</v>
      </c>
      <c r="E435" s="13">
        <v>0.55694444444444446</v>
      </c>
      <c r="F435" t="s">
        <v>1217</v>
      </c>
    </row>
    <row r="436" spans="1:6" x14ac:dyDescent="0.25">
      <c r="A436">
        <v>612</v>
      </c>
      <c r="B436" s="3">
        <v>45275</v>
      </c>
      <c r="C436" t="s">
        <v>33</v>
      </c>
      <c r="D436" t="s">
        <v>9</v>
      </c>
      <c r="E436" s="13">
        <v>0.54652777777777772</v>
      </c>
      <c r="F436" t="s">
        <v>1217</v>
      </c>
    </row>
    <row r="437" spans="1:6" x14ac:dyDescent="0.25">
      <c r="A437">
        <v>613</v>
      </c>
      <c r="B437" s="3">
        <v>45219</v>
      </c>
      <c r="C437" t="s">
        <v>33</v>
      </c>
      <c r="D437" t="s">
        <v>9</v>
      </c>
      <c r="E437" s="13">
        <v>0.9</v>
      </c>
      <c r="F437" t="s">
        <v>1217</v>
      </c>
    </row>
    <row r="438" spans="1:6" x14ac:dyDescent="0.25">
      <c r="A438">
        <v>613</v>
      </c>
      <c r="B438" s="3">
        <v>45226</v>
      </c>
      <c r="C438" t="s">
        <v>33</v>
      </c>
      <c r="D438" t="s">
        <v>9</v>
      </c>
      <c r="E438" s="13">
        <v>0.57916666666666672</v>
      </c>
      <c r="F438" t="s">
        <v>1217</v>
      </c>
    </row>
    <row r="439" spans="1:6" x14ac:dyDescent="0.25">
      <c r="A439">
        <v>613</v>
      </c>
      <c r="B439" s="3">
        <v>45233</v>
      </c>
      <c r="C439" t="s">
        <v>33</v>
      </c>
      <c r="D439" t="s">
        <v>9</v>
      </c>
      <c r="E439" s="13">
        <v>0.55972222222222223</v>
      </c>
      <c r="F439" t="s">
        <v>1217</v>
      </c>
    </row>
    <row r="440" spans="1:6" x14ac:dyDescent="0.25">
      <c r="A440">
        <v>613</v>
      </c>
      <c r="B440" s="3">
        <v>45240</v>
      </c>
      <c r="C440" t="s">
        <v>33</v>
      </c>
      <c r="D440" t="s">
        <v>9</v>
      </c>
      <c r="E440" s="13">
        <v>0.55555555555555558</v>
      </c>
      <c r="F440" t="s">
        <v>1217</v>
      </c>
    </row>
    <row r="441" spans="1:6" x14ac:dyDescent="0.25">
      <c r="A441">
        <v>613</v>
      </c>
      <c r="B441" s="3">
        <v>45254</v>
      </c>
      <c r="C441" t="s">
        <v>33</v>
      </c>
      <c r="D441" t="s">
        <v>9</v>
      </c>
      <c r="E441" s="13">
        <v>0.54722222222222228</v>
      </c>
      <c r="F441" t="s">
        <v>1217</v>
      </c>
    </row>
    <row r="442" spans="1:6" x14ac:dyDescent="0.25">
      <c r="A442">
        <v>613</v>
      </c>
      <c r="B442" s="3">
        <v>45261</v>
      </c>
      <c r="C442" t="s">
        <v>33</v>
      </c>
      <c r="D442" t="s">
        <v>9</v>
      </c>
      <c r="E442" s="13">
        <v>0.57291666666666663</v>
      </c>
      <c r="F442" t="s">
        <v>1218</v>
      </c>
    </row>
    <row r="443" spans="1:6" x14ac:dyDescent="0.25">
      <c r="A443">
        <v>613</v>
      </c>
      <c r="B443" s="3">
        <v>45275</v>
      </c>
      <c r="C443" t="s">
        <v>33</v>
      </c>
      <c r="D443" t="s">
        <v>9</v>
      </c>
      <c r="E443" s="13">
        <v>0.55555555555555558</v>
      </c>
      <c r="F443" t="s">
        <v>1217</v>
      </c>
    </row>
    <row r="444" spans="1:6" x14ac:dyDescent="0.25">
      <c r="A444">
        <v>613</v>
      </c>
      <c r="B444" s="3">
        <v>45282</v>
      </c>
      <c r="C444" t="s">
        <v>33</v>
      </c>
      <c r="D444" t="s">
        <v>9</v>
      </c>
      <c r="E444" s="13">
        <v>0.54305555555555551</v>
      </c>
      <c r="F444" t="s">
        <v>1217</v>
      </c>
    </row>
    <row r="445" spans="1:6" x14ac:dyDescent="0.25">
      <c r="A445">
        <v>614</v>
      </c>
      <c r="B445" s="3">
        <v>45261</v>
      </c>
      <c r="C445" t="s">
        <v>33</v>
      </c>
      <c r="D445" t="s">
        <v>9</v>
      </c>
      <c r="E445" s="13">
        <v>0.55000000000000004</v>
      </c>
      <c r="F445" t="s">
        <v>1218</v>
      </c>
    </row>
    <row r="446" spans="1:6" x14ac:dyDescent="0.25">
      <c r="A446">
        <v>614</v>
      </c>
      <c r="B446" s="3">
        <v>45268</v>
      </c>
      <c r="C446" t="s">
        <v>33</v>
      </c>
      <c r="D446" t="s">
        <v>9</v>
      </c>
      <c r="E446" s="13">
        <v>0.55833333333333335</v>
      </c>
      <c r="F446" t="s">
        <v>1217</v>
      </c>
    </row>
    <row r="447" spans="1:6" x14ac:dyDescent="0.25">
      <c r="A447">
        <v>614</v>
      </c>
      <c r="B447" s="3">
        <v>45275</v>
      </c>
      <c r="C447" t="s">
        <v>33</v>
      </c>
      <c r="D447" t="s">
        <v>9</v>
      </c>
      <c r="E447" s="13">
        <v>0.54652777777777772</v>
      </c>
      <c r="F447" t="s">
        <v>1217</v>
      </c>
    </row>
    <row r="448" spans="1:6" x14ac:dyDescent="0.25">
      <c r="A448">
        <v>614</v>
      </c>
      <c r="B448" s="3">
        <v>45282</v>
      </c>
      <c r="C448" t="s">
        <v>33</v>
      </c>
      <c r="D448" t="s">
        <v>9</v>
      </c>
      <c r="E448" s="13">
        <v>0.55902777777777779</v>
      </c>
      <c r="F448" t="s">
        <v>1217</v>
      </c>
    </row>
    <row r="449" spans="1:6" x14ac:dyDescent="0.25">
      <c r="A449">
        <v>618</v>
      </c>
      <c r="B449" s="3">
        <v>45261</v>
      </c>
      <c r="C449" t="s">
        <v>33</v>
      </c>
      <c r="D449" t="s">
        <v>9</v>
      </c>
      <c r="E449" s="13">
        <v>0.55000000000000004</v>
      </c>
      <c r="F449" t="s">
        <v>1218</v>
      </c>
    </row>
    <row r="450" spans="1:6" x14ac:dyDescent="0.25">
      <c r="A450">
        <v>620</v>
      </c>
      <c r="B450" s="3">
        <v>45226</v>
      </c>
      <c r="C450" t="s">
        <v>33</v>
      </c>
      <c r="D450" t="s">
        <v>9</v>
      </c>
      <c r="E450" s="13">
        <v>0.57986111111111116</v>
      </c>
      <c r="F450" t="s">
        <v>1217</v>
      </c>
    </row>
    <row r="451" spans="1:6" x14ac:dyDescent="0.25">
      <c r="A451">
        <v>620</v>
      </c>
      <c r="B451" s="3">
        <v>45261</v>
      </c>
      <c r="C451" t="s">
        <v>33</v>
      </c>
      <c r="D451" t="s">
        <v>9</v>
      </c>
      <c r="E451" s="13">
        <v>0.55069444444444449</v>
      </c>
      <c r="F451" t="s">
        <v>1218</v>
      </c>
    </row>
    <row r="452" spans="1:6" x14ac:dyDescent="0.25">
      <c r="A452">
        <v>620</v>
      </c>
      <c r="B452" s="3">
        <v>45268</v>
      </c>
      <c r="C452" t="s">
        <v>33</v>
      </c>
      <c r="D452" t="s">
        <v>9</v>
      </c>
      <c r="E452" s="13">
        <v>0.55000000000000004</v>
      </c>
      <c r="F452" t="s">
        <v>1217</v>
      </c>
    </row>
    <row r="453" spans="1:6" x14ac:dyDescent="0.25">
      <c r="A453">
        <v>620</v>
      </c>
      <c r="B453" s="3">
        <v>45282</v>
      </c>
      <c r="C453" t="s">
        <v>33</v>
      </c>
      <c r="D453" t="s">
        <v>9</v>
      </c>
      <c r="E453" s="13">
        <v>0.57152777777777775</v>
      </c>
      <c r="F453" t="s">
        <v>1218</v>
      </c>
    </row>
    <row r="454" spans="1:6" x14ac:dyDescent="0.25">
      <c r="A454">
        <v>621</v>
      </c>
      <c r="B454" s="3">
        <v>45233</v>
      </c>
      <c r="C454" t="s">
        <v>33</v>
      </c>
      <c r="D454" t="s">
        <v>9</v>
      </c>
      <c r="E454" s="13">
        <v>0.53402777777777777</v>
      </c>
      <c r="F454" t="s">
        <v>1217</v>
      </c>
    </row>
    <row r="455" spans="1:6" x14ac:dyDescent="0.25">
      <c r="A455">
        <v>621</v>
      </c>
      <c r="B455" s="3">
        <v>45240</v>
      </c>
      <c r="C455" t="s">
        <v>33</v>
      </c>
      <c r="D455" t="s">
        <v>9</v>
      </c>
      <c r="E455" s="13">
        <v>0.56041666666666667</v>
      </c>
      <c r="F455" t="s">
        <v>1217</v>
      </c>
    </row>
    <row r="456" spans="1:6" x14ac:dyDescent="0.25">
      <c r="A456">
        <v>621</v>
      </c>
      <c r="B456" s="3">
        <v>45247</v>
      </c>
      <c r="C456" t="s">
        <v>33</v>
      </c>
      <c r="D456" t="s">
        <v>9</v>
      </c>
      <c r="E456" s="13">
        <v>0.56319444444444444</v>
      </c>
      <c r="F456" t="s">
        <v>1218</v>
      </c>
    </row>
    <row r="457" spans="1:6" x14ac:dyDescent="0.25">
      <c r="A457">
        <v>621</v>
      </c>
      <c r="B457" s="3">
        <v>45268</v>
      </c>
      <c r="C457" t="s">
        <v>33</v>
      </c>
      <c r="D457" t="s">
        <v>9</v>
      </c>
      <c r="E457" s="13">
        <v>0.55833333333333335</v>
      </c>
      <c r="F457" t="s">
        <v>1217</v>
      </c>
    </row>
    <row r="458" spans="1:6" x14ac:dyDescent="0.25">
      <c r="A458">
        <v>621</v>
      </c>
      <c r="B458" s="3">
        <v>45275</v>
      </c>
      <c r="C458" t="s">
        <v>33</v>
      </c>
      <c r="D458" t="s">
        <v>9</v>
      </c>
      <c r="E458" s="13">
        <v>0.55555555555555558</v>
      </c>
      <c r="F458" t="s">
        <v>1217</v>
      </c>
    </row>
    <row r="459" spans="1:6" x14ac:dyDescent="0.25">
      <c r="A459">
        <v>621</v>
      </c>
      <c r="B459" s="3">
        <v>45282</v>
      </c>
      <c r="C459" t="s">
        <v>33</v>
      </c>
      <c r="D459" t="s">
        <v>9</v>
      </c>
      <c r="E459" s="13">
        <v>0.54305555555555551</v>
      </c>
      <c r="F459" t="s">
        <v>1217</v>
      </c>
    </row>
    <row r="460" spans="1:6" x14ac:dyDescent="0.25">
      <c r="A460">
        <v>702</v>
      </c>
      <c r="B460" s="3">
        <v>45198</v>
      </c>
      <c r="C460" t="s">
        <v>33</v>
      </c>
      <c r="D460" t="s">
        <v>34</v>
      </c>
      <c r="E460" s="13">
        <v>0.61527777777777781</v>
      </c>
      <c r="F460" t="s">
        <v>1217</v>
      </c>
    </row>
    <row r="461" spans="1:6" x14ac:dyDescent="0.25">
      <c r="A461">
        <v>702</v>
      </c>
      <c r="B461" s="3">
        <v>45205</v>
      </c>
      <c r="C461" t="s">
        <v>33</v>
      </c>
      <c r="D461" t="s">
        <v>34</v>
      </c>
      <c r="E461" s="13">
        <v>0.62430555555555556</v>
      </c>
      <c r="F461" t="s">
        <v>1217</v>
      </c>
    </row>
    <row r="462" spans="1:6" x14ac:dyDescent="0.25">
      <c r="A462">
        <v>702</v>
      </c>
      <c r="B462" s="3">
        <v>45212</v>
      </c>
      <c r="C462" t="s">
        <v>33</v>
      </c>
      <c r="D462" t="s">
        <v>34</v>
      </c>
      <c r="E462" s="13">
        <v>0.55000000000000004</v>
      </c>
      <c r="F462" t="s">
        <v>1217</v>
      </c>
    </row>
    <row r="463" spans="1:6" x14ac:dyDescent="0.25">
      <c r="A463">
        <v>702</v>
      </c>
      <c r="B463" s="3">
        <v>45219</v>
      </c>
      <c r="C463" t="s">
        <v>33</v>
      </c>
      <c r="D463" t="s">
        <v>34</v>
      </c>
      <c r="E463" s="13">
        <v>0.9</v>
      </c>
      <c r="F463" t="s">
        <v>1217</v>
      </c>
    </row>
    <row r="464" spans="1:6" x14ac:dyDescent="0.25">
      <c r="A464">
        <v>702</v>
      </c>
      <c r="B464" s="3">
        <v>45226</v>
      </c>
      <c r="C464" t="s">
        <v>33</v>
      </c>
      <c r="D464" t="s">
        <v>34</v>
      </c>
      <c r="E464" s="13">
        <v>0.62916666666666665</v>
      </c>
      <c r="F464" t="s">
        <v>1217</v>
      </c>
    </row>
    <row r="465" spans="1:6" x14ac:dyDescent="0.25">
      <c r="A465">
        <v>702</v>
      </c>
      <c r="B465" s="3">
        <v>45240</v>
      </c>
      <c r="C465" t="s">
        <v>33</v>
      </c>
      <c r="D465" t="s">
        <v>34</v>
      </c>
      <c r="E465" s="13">
        <v>0.60555555555555551</v>
      </c>
      <c r="F465" t="s">
        <v>1218</v>
      </c>
    </row>
    <row r="466" spans="1:6" x14ac:dyDescent="0.25">
      <c r="A466">
        <v>702</v>
      </c>
      <c r="B466" s="3">
        <v>45254</v>
      </c>
      <c r="C466" t="s">
        <v>33</v>
      </c>
      <c r="D466" t="s">
        <v>34</v>
      </c>
      <c r="E466" s="13">
        <v>0.53611111111111109</v>
      </c>
      <c r="F466" t="s">
        <v>1217</v>
      </c>
    </row>
    <row r="467" spans="1:6" x14ac:dyDescent="0.25">
      <c r="A467">
        <v>702</v>
      </c>
      <c r="B467" s="3">
        <v>45261</v>
      </c>
      <c r="C467" t="s">
        <v>33</v>
      </c>
      <c r="D467" t="s">
        <v>34</v>
      </c>
      <c r="E467" s="13">
        <v>0.61041666666666672</v>
      </c>
      <c r="F467" t="s">
        <v>1218</v>
      </c>
    </row>
    <row r="468" spans="1:6" x14ac:dyDescent="0.25">
      <c r="A468">
        <v>702</v>
      </c>
      <c r="B468" s="3">
        <v>45268</v>
      </c>
      <c r="C468" t="s">
        <v>33</v>
      </c>
      <c r="D468" t="s">
        <v>34</v>
      </c>
      <c r="E468" s="13">
        <v>0.56319444444444444</v>
      </c>
      <c r="F468" t="s">
        <v>1218</v>
      </c>
    </row>
    <row r="469" spans="1:6" x14ac:dyDescent="0.25">
      <c r="A469">
        <v>702</v>
      </c>
      <c r="B469" s="3">
        <v>45275</v>
      </c>
      <c r="C469" t="s">
        <v>33</v>
      </c>
      <c r="D469" t="s">
        <v>34</v>
      </c>
      <c r="E469" s="13">
        <v>0.60347222222222219</v>
      </c>
      <c r="F469" t="s">
        <v>1218</v>
      </c>
    </row>
    <row r="470" spans="1:6" x14ac:dyDescent="0.25">
      <c r="A470">
        <v>702</v>
      </c>
      <c r="B470" s="3">
        <v>45282</v>
      </c>
      <c r="C470" t="s">
        <v>33</v>
      </c>
      <c r="D470" t="s">
        <v>34</v>
      </c>
      <c r="E470" s="13">
        <v>0.54652777777777772</v>
      </c>
      <c r="F470" t="s">
        <v>1217</v>
      </c>
    </row>
    <row r="471" spans="1:6" x14ac:dyDescent="0.25">
      <c r="A471">
        <v>703</v>
      </c>
      <c r="B471" s="3">
        <v>45212</v>
      </c>
      <c r="C471" t="s">
        <v>33</v>
      </c>
      <c r="D471" t="s">
        <v>34</v>
      </c>
      <c r="E471" s="13">
        <v>0.55347222222222225</v>
      </c>
      <c r="F471" t="s">
        <v>1217</v>
      </c>
    </row>
    <row r="472" spans="1:6" x14ac:dyDescent="0.25">
      <c r="A472">
        <v>703</v>
      </c>
      <c r="B472" s="3">
        <v>45219</v>
      </c>
      <c r="C472" t="s">
        <v>33</v>
      </c>
      <c r="D472" t="s">
        <v>34</v>
      </c>
      <c r="E472" s="13">
        <v>0.89930555555555558</v>
      </c>
      <c r="F472" t="s">
        <v>1217</v>
      </c>
    </row>
    <row r="473" spans="1:6" x14ac:dyDescent="0.25">
      <c r="A473">
        <v>703</v>
      </c>
      <c r="B473" s="3">
        <v>45233</v>
      </c>
      <c r="C473" t="s">
        <v>33</v>
      </c>
      <c r="D473" t="s">
        <v>34</v>
      </c>
      <c r="E473" s="13">
        <v>0.55972222222222223</v>
      </c>
      <c r="F473" t="s">
        <v>1217</v>
      </c>
    </row>
    <row r="474" spans="1:6" x14ac:dyDescent="0.25">
      <c r="A474">
        <v>703</v>
      </c>
      <c r="B474" s="3">
        <v>45261</v>
      </c>
      <c r="C474" t="s">
        <v>33</v>
      </c>
      <c r="D474" t="s">
        <v>34</v>
      </c>
      <c r="E474" s="13">
        <v>0.54652777777777772</v>
      </c>
      <c r="F474" t="s">
        <v>1217</v>
      </c>
    </row>
    <row r="475" spans="1:6" x14ac:dyDescent="0.25">
      <c r="A475">
        <v>703</v>
      </c>
      <c r="B475" s="3">
        <v>45268</v>
      </c>
      <c r="C475" t="s">
        <v>33</v>
      </c>
      <c r="D475" t="s">
        <v>34</v>
      </c>
      <c r="E475" s="13">
        <v>0.55347222222222225</v>
      </c>
      <c r="F475" t="s">
        <v>1217</v>
      </c>
    </row>
    <row r="476" spans="1:6" x14ac:dyDescent="0.25">
      <c r="A476">
        <v>703</v>
      </c>
      <c r="B476" s="3">
        <v>45275</v>
      </c>
      <c r="C476" t="s">
        <v>33</v>
      </c>
      <c r="D476" t="s">
        <v>34</v>
      </c>
      <c r="E476" s="13">
        <v>0.54722222222222228</v>
      </c>
      <c r="F476" t="s">
        <v>1217</v>
      </c>
    </row>
    <row r="477" spans="1:6" x14ac:dyDescent="0.25">
      <c r="A477">
        <v>703</v>
      </c>
      <c r="B477" s="3">
        <v>45282</v>
      </c>
      <c r="C477" t="s">
        <v>33</v>
      </c>
      <c r="D477" t="s">
        <v>34</v>
      </c>
      <c r="E477" s="13">
        <v>0.55000000000000004</v>
      </c>
      <c r="F477" t="s">
        <v>1217</v>
      </c>
    </row>
    <row r="478" spans="1:6" x14ac:dyDescent="0.25">
      <c r="A478">
        <v>710</v>
      </c>
      <c r="B478" s="3">
        <v>45240</v>
      </c>
      <c r="C478" t="s">
        <v>33</v>
      </c>
      <c r="D478" t="s">
        <v>10</v>
      </c>
      <c r="E478" s="13">
        <v>0.55902777777777779</v>
      </c>
      <c r="F478" t="s">
        <v>1217</v>
      </c>
    </row>
    <row r="479" spans="1:6" x14ac:dyDescent="0.25">
      <c r="A479">
        <v>710</v>
      </c>
      <c r="B479" s="3">
        <v>45282</v>
      </c>
      <c r="C479" t="s">
        <v>33</v>
      </c>
      <c r="D479" t="s">
        <v>10</v>
      </c>
      <c r="E479" s="13">
        <v>0.55208333333333337</v>
      </c>
      <c r="F479" t="s">
        <v>1217</v>
      </c>
    </row>
    <row r="480" spans="1:6" x14ac:dyDescent="0.25">
      <c r="A480">
        <v>715</v>
      </c>
      <c r="B480" s="3">
        <v>45219</v>
      </c>
      <c r="C480" t="s">
        <v>33</v>
      </c>
      <c r="D480" t="s">
        <v>10</v>
      </c>
      <c r="E480" s="13">
        <v>0.89861111111111114</v>
      </c>
      <c r="F480" t="s">
        <v>1217</v>
      </c>
    </row>
    <row r="481" spans="1:6" x14ac:dyDescent="0.25">
      <c r="A481">
        <v>715</v>
      </c>
      <c r="B481" s="3">
        <v>45226</v>
      </c>
      <c r="C481" t="s">
        <v>33</v>
      </c>
      <c r="D481" t="s">
        <v>10</v>
      </c>
      <c r="E481" s="13">
        <v>0.57638888888888884</v>
      </c>
      <c r="F481" t="s">
        <v>1217</v>
      </c>
    </row>
    <row r="482" spans="1:6" x14ac:dyDescent="0.25">
      <c r="A482">
        <v>715</v>
      </c>
      <c r="B482" s="3">
        <v>45233</v>
      </c>
      <c r="C482" t="s">
        <v>33</v>
      </c>
      <c r="D482" t="s">
        <v>10</v>
      </c>
      <c r="E482" s="13">
        <v>0.54722222222222228</v>
      </c>
      <c r="F482" t="s">
        <v>1217</v>
      </c>
    </row>
    <row r="483" spans="1:6" x14ac:dyDescent="0.25">
      <c r="A483">
        <v>715</v>
      </c>
      <c r="B483" s="3">
        <v>45240</v>
      </c>
      <c r="C483" t="s">
        <v>33</v>
      </c>
      <c r="D483" t="s">
        <v>10</v>
      </c>
      <c r="E483" s="13">
        <v>0.56388888888888888</v>
      </c>
      <c r="F483" t="s">
        <v>1218</v>
      </c>
    </row>
    <row r="484" spans="1:6" x14ac:dyDescent="0.25">
      <c r="A484">
        <v>716</v>
      </c>
      <c r="B484" s="3">
        <v>45254</v>
      </c>
      <c r="C484" t="s">
        <v>33</v>
      </c>
      <c r="D484" t="s">
        <v>10</v>
      </c>
      <c r="E484" s="13">
        <v>0.55763888888888891</v>
      </c>
      <c r="F484" t="s">
        <v>1217</v>
      </c>
    </row>
    <row r="485" spans="1:6" x14ac:dyDescent="0.25">
      <c r="A485">
        <v>716</v>
      </c>
      <c r="B485" s="3">
        <v>45261</v>
      </c>
      <c r="C485" t="s">
        <v>33</v>
      </c>
      <c r="D485" t="s">
        <v>10</v>
      </c>
      <c r="E485" s="13">
        <v>0.5625</v>
      </c>
      <c r="F485" t="s">
        <v>1217</v>
      </c>
    </row>
    <row r="486" spans="1:6" x14ac:dyDescent="0.25">
      <c r="A486">
        <v>717</v>
      </c>
      <c r="B486" s="3">
        <v>45226</v>
      </c>
      <c r="C486" t="s">
        <v>33</v>
      </c>
      <c r="D486" t="s">
        <v>10</v>
      </c>
      <c r="E486" s="13">
        <v>0.57430555555555551</v>
      </c>
      <c r="F486" t="s">
        <v>1217</v>
      </c>
    </row>
    <row r="487" spans="1:6" x14ac:dyDescent="0.25">
      <c r="A487">
        <v>717</v>
      </c>
      <c r="B487" s="3">
        <v>45233</v>
      </c>
      <c r="C487" t="s">
        <v>33</v>
      </c>
      <c r="D487" t="s">
        <v>10</v>
      </c>
      <c r="E487" s="13">
        <v>0.60069444444444442</v>
      </c>
      <c r="F487" t="s">
        <v>1218</v>
      </c>
    </row>
    <row r="488" spans="1:6" x14ac:dyDescent="0.25">
      <c r="A488">
        <v>717</v>
      </c>
      <c r="B488" s="3">
        <v>45240</v>
      </c>
      <c r="C488" t="s">
        <v>33</v>
      </c>
      <c r="D488" t="s">
        <v>10</v>
      </c>
      <c r="E488" s="13">
        <v>0.5708333333333333</v>
      </c>
      <c r="F488" t="s">
        <v>1218</v>
      </c>
    </row>
    <row r="489" spans="1:6" x14ac:dyDescent="0.25">
      <c r="A489">
        <v>717</v>
      </c>
      <c r="B489" s="3">
        <v>45254</v>
      </c>
      <c r="C489" t="s">
        <v>33</v>
      </c>
      <c r="D489" t="s">
        <v>10</v>
      </c>
      <c r="E489" s="13">
        <v>0.56944444444444442</v>
      </c>
      <c r="F489" t="s">
        <v>1218</v>
      </c>
    </row>
    <row r="490" spans="1:6" x14ac:dyDescent="0.25">
      <c r="A490">
        <v>717</v>
      </c>
      <c r="B490" s="3">
        <v>45261</v>
      </c>
      <c r="C490" t="s">
        <v>33</v>
      </c>
      <c r="D490" t="s">
        <v>10</v>
      </c>
      <c r="E490" s="13">
        <v>0.56666666666666665</v>
      </c>
      <c r="F490" t="s">
        <v>1218</v>
      </c>
    </row>
    <row r="491" spans="1:6" x14ac:dyDescent="0.25">
      <c r="A491">
        <v>717</v>
      </c>
      <c r="B491" s="3">
        <v>45268</v>
      </c>
      <c r="C491" t="s">
        <v>33</v>
      </c>
      <c r="D491" t="s">
        <v>10</v>
      </c>
      <c r="E491" s="13">
        <v>0.56111111111111112</v>
      </c>
      <c r="F491" t="s">
        <v>1217</v>
      </c>
    </row>
    <row r="492" spans="1:6" x14ac:dyDescent="0.25">
      <c r="A492">
        <v>717</v>
      </c>
      <c r="B492" s="3">
        <v>45282</v>
      </c>
      <c r="C492" t="s">
        <v>33</v>
      </c>
      <c r="D492" t="s">
        <v>10</v>
      </c>
      <c r="E492" s="13">
        <v>0.54097222222222219</v>
      </c>
      <c r="F492" t="s">
        <v>1217</v>
      </c>
    </row>
    <row r="493" spans="1:6" x14ac:dyDescent="0.25">
      <c r="A493">
        <v>718</v>
      </c>
      <c r="B493" s="3">
        <v>45247</v>
      </c>
      <c r="C493" t="s">
        <v>33</v>
      </c>
      <c r="D493" t="s">
        <v>10</v>
      </c>
      <c r="E493" s="13">
        <v>0.56111111111111112</v>
      </c>
      <c r="F493" t="s">
        <v>1218</v>
      </c>
    </row>
    <row r="494" spans="1:6" x14ac:dyDescent="0.25">
      <c r="A494">
        <v>718</v>
      </c>
      <c r="B494" s="3">
        <v>45275</v>
      </c>
      <c r="C494" t="s">
        <v>33</v>
      </c>
      <c r="D494" t="s">
        <v>10</v>
      </c>
      <c r="E494" s="13">
        <v>0.5708333333333333</v>
      </c>
      <c r="F494" t="s">
        <v>1218</v>
      </c>
    </row>
    <row r="495" spans="1:6" x14ac:dyDescent="0.25">
      <c r="A495">
        <v>718</v>
      </c>
      <c r="B495" s="3">
        <v>45282</v>
      </c>
      <c r="C495" t="s">
        <v>33</v>
      </c>
      <c r="D495" t="s">
        <v>10</v>
      </c>
      <c r="E495" s="13">
        <v>0.53402777777777777</v>
      </c>
      <c r="F495" t="s">
        <v>1217</v>
      </c>
    </row>
    <row r="496" spans="1:6" x14ac:dyDescent="0.25">
      <c r="A496">
        <v>719</v>
      </c>
      <c r="B496" s="3">
        <v>45261</v>
      </c>
      <c r="C496" t="s">
        <v>33</v>
      </c>
      <c r="D496" t="s">
        <v>10</v>
      </c>
      <c r="E496" s="13">
        <v>0.54166666666666663</v>
      </c>
      <c r="F496" t="s">
        <v>1217</v>
      </c>
    </row>
    <row r="497" spans="1:6" x14ac:dyDescent="0.25">
      <c r="A497">
        <v>719</v>
      </c>
      <c r="B497" s="3">
        <v>45268</v>
      </c>
      <c r="C497" t="s">
        <v>33</v>
      </c>
      <c r="D497" t="s">
        <v>10</v>
      </c>
      <c r="E497" s="13">
        <v>0.54652777777777772</v>
      </c>
      <c r="F497" t="s">
        <v>1217</v>
      </c>
    </row>
    <row r="498" spans="1:6" x14ac:dyDescent="0.25">
      <c r="A498">
        <v>719</v>
      </c>
      <c r="B498" s="3">
        <v>45282</v>
      </c>
      <c r="C498" t="s">
        <v>33</v>
      </c>
      <c r="D498" t="s">
        <v>10</v>
      </c>
      <c r="E498" s="13">
        <v>0.53402777777777777</v>
      </c>
      <c r="F498" t="s">
        <v>1217</v>
      </c>
    </row>
    <row r="499" spans="1:6" x14ac:dyDescent="0.25">
      <c r="A499">
        <v>721</v>
      </c>
      <c r="B499" s="3">
        <v>45219</v>
      </c>
      <c r="C499" t="s">
        <v>33</v>
      </c>
      <c r="D499" t="s">
        <v>10</v>
      </c>
      <c r="E499" s="13">
        <v>0.89930555555555558</v>
      </c>
      <c r="F499" t="s">
        <v>1217</v>
      </c>
    </row>
    <row r="500" spans="1:6" x14ac:dyDescent="0.25">
      <c r="A500">
        <v>721</v>
      </c>
      <c r="B500" s="3">
        <v>45226</v>
      </c>
      <c r="C500" t="s">
        <v>33</v>
      </c>
      <c r="D500" t="s">
        <v>10</v>
      </c>
      <c r="E500" s="13">
        <v>0.57847222222222228</v>
      </c>
      <c r="F500" t="s">
        <v>1217</v>
      </c>
    </row>
    <row r="501" spans="1:6" x14ac:dyDescent="0.25">
      <c r="A501">
        <v>721</v>
      </c>
      <c r="B501" s="3">
        <v>45233</v>
      </c>
      <c r="C501" t="s">
        <v>33</v>
      </c>
      <c r="D501" t="s">
        <v>10</v>
      </c>
      <c r="E501" s="13">
        <v>0.53749999999999998</v>
      </c>
      <c r="F501" t="s">
        <v>1217</v>
      </c>
    </row>
    <row r="502" spans="1:6" x14ac:dyDescent="0.25">
      <c r="A502">
        <v>721</v>
      </c>
      <c r="B502" s="3">
        <v>45240</v>
      </c>
      <c r="C502" t="s">
        <v>33</v>
      </c>
      <c r="D502" t="s">
        <v>10</v>
      </c>
      <c r="E502" s="13">
        <v>0.5625</v>
      </c>
      <c r="F502" t="s">
        <v>1217</v>
      </c>
    </row>
    <row r="503" spans="1:6" x14ac:dyDescent="0.25">
      <c r="A503">
        <v>721</v>
      </c>
      <c r="B503" s="3">
        <v>45254</v>
      </c>
      <c r="C503" t="s">
        <v>33</v>
      </c>
      <c r="D503" t="s">
        <v>10</v>
      </c>
      <c r="E503" s="13">
        <v>0.55555555555555558</v>
      </c>
      <c r="F503" t="s">
        <v>1217</v>
      </c>
    </row>
    <row r="504" spans="1:6" x14ac:dyDescent="0.25">
      <c r="A504">
        <v>721</v>
      </c>
      <c r="B504" s="3">
        <v>45261</v>
      </c>
      <c r="C504" t="s">
        <v>33</v>
      </c>
      <c r="D504" t="s">
        <v>10</v>
      </c>
      <c r="E504" s="13">
        <v>0.53611111111111109</v>
      </c>
      <c r="F504" t="s">
        <v>1217</v>
      </c>
    </row>
    <row r="505" spans="1:6" x14ac:dyDescent="0.25">
      <c r="A505">
        <v>721</v>
      </c>
      <c r="B505" s="3">
        <v>45268</v>
      </c>
      <c r="C505" t="s">
        <v>33</v>
      </c>
      <c r="D505" t="s">
        <v>10</v>
      </c>
      <c r="E505" s="13">
        <v>0.54027777777777775</v>
      </c>
      <c r="F505" t="s">
        <v>1217</v>
      </c>
    </row>
    <row r="506" spans="1:6" x14ac:dyDescent="0.25">
      <c r="A506">
        <v>721</v>
      </c>
      <c r="B506" s="3">
        <v>45282</v>
      </c>
      <c r="C506" t="s">
        <v>33</v>
      </c>
      <c r="D506" t="s">
        <v>10</v>
      </c>
      <c r="E506" s="13">
        <v>0.54097222222222219</v>
      </c>
      <c r="F506" t="s">
        <v>1217</v>
      </c>
    </row>
    <row r="507" spans="1:6" x14ac:dyDescent="0.25">
      <c r="A507">
        <v>722</v>
      </c>
      <c r="B507" s="3">
        <v>45219</v>
      </c>
      <c r="C507" t="s">
        <v>33</v>
      </c>
      <c r="D507" t="s">
        <v>10</v>
      </c>
      <c r="E507" s="13">
        <v>0.89930555555555558</v>
      </c>
      <c r="F507" t="s">
        <v>1217</v>
      </c>
    </row>
    <row r="508" spans="1:6" x14ac:dyDescent="0.25">
      <c r="A508">
        <v>726</v>
      </c>
      <c r="B508" s="3">
        <v>45219</v>
      </c>
      <c r="C508" t="s">
        <v>33</v>
      </c>
      <c r="D508" t="s">
        <v>10</v>
      </c>
      <c r="E508" s="13">
        <v>0.9</v>
      </c>
      <c r="F508" t="s">
        <v>1217</v>
      </c>
    </row>
    <row r="509" spans="1:6" x14ac:dyDescent="0.25">
      <c r="A509">
        <v>727</v>
      </c>
      <c r="B509" s="3">
        <v>45240</v>
      </c>
      <c r="C509" t="s">
        <v>33</v>
      </c>
      <c r="D509" t="s">
        <v>10</v>
      </c>
      <c r="E509" s="13">
        <v>0.56597222222222221</v>
      </c>
      <c r="F509" t="s">
        <v>1218</v>
      </c>
    </row>
    <row r="510" spans="1:6" x14ac:dyDescent="0.25">
      <c r="A510">
        <v>732</v>
      </c>
      <c r="B510" s="3">
        <v>45233</v>
      </c>
      <c r="C510" t="s">
        <v>33</v>
      </c>
      <c r="D510" t="s">
        <v>10</v>
      </c>
      <c r="E510" s="13">
        <v>0.57291666666666663</v>
      </c>
      <c r="F510" t="s">
        <v>1218</v>
      </c>
    </row>
    <row r="511" spans="1:6" x14ac:dyDescent="0.25">
      <c r="A511">
        <v>732</v>
      </c>
      <c r="B511" s="3">
        <v>45254</v>
      </c>
      <c r="C511" t="s">
        <v>33</v>
      </c>
      <c r="D511" t="s">
        <v>10</v>
      </c>
      <c r="E511" s="13">
        <v>0.57430555555555551</v>
      </c>
      <c r="F511" t="s">
        <v>1218</v>
      </c>
    </row>
    <row r="512" spans="1:6" x14ac:dyDescent="0.25">
      <c r="A512">
        <v>732</v>
      </c>
      <c r="B512" s="3">
        <v>45282</v>
      </c>
      <c r="C512" t="s">
        <v>33</v>
      </c>
      <c r="D512" t="s">
        <v>10</v>
      </c>
      <c r="E512" s="13">
        <v>0.5805555555555556</v>
      </c>
      <c r="F512" t="s">
        <v>1218</v>
      </c>
    </row>
    <row r="513" spans="1:6" x14ac:dyDescent="0.25">
      <c r="A513">
        <v>735</v>
      </c>
      <c r="B513" s="3">
        <v>45219</v>
      </c>
      <c r="C513" t="s">
        <v>33</v>
      </c>
      <c r="D513" t="s">
        <v>10</v>
      </c>
      <c r="E513" s="13">
        <v>0.9</v>
      </c>
      <c r="F513" t="s">
        <v>1217</v>
      </c>
    </row>
    <row r="514" spans="1:6" x14ac:dyDescent="0.25">
      <c r="A514">
        <v>735</v>
      </c>
      <c r="B514" s="3">
        <v>45233</v>
      </c>
      <c r="C514" t="s">
        <v>33</v>
      </c>
      <c r="D514" t="s">
        <v>10</v>
      </c>
      <c r="E514" s="13">
        <v>0.55347222222222225</v>
      </c>
      <c r="F514" t="s">
        <v>1217</v>
      </c>
    </row>
    <row r="515" spans="1:6" x14ac:dyDescent="0.25">
      <c r="A515">
        <v>735</v>
      </c>
      <c r="B515" s="3">
        <v>45254</v>
      </c>
      <c r="C515" t="s">
        <v>33</v>
      </c>
      <c r="D515" t="s">
        <v>10</v>
      </c>
      <c r="E515" s="13">
        <v>0.56111111111111112</v>
      </c>
      <c r="F515" t="s">
        <v>1217</v>
      </c>
    </row>
    <row r="516" spans="1:6" x14ac:dyDescent="0.25">
      <c r="A516">
        <v>735</v>
      </c>
      <c r="B516" s="3">
        <v>45261</v>
      </c>
      <c r="C516" t="s">
        <v>33</v>
      </c>
      <c r="D516" t="s">
        <v>10</v>
      </c>
      <c r="E516" s="13">
        <v>0.57291666666666663</v>
      </c>
      <c r="F516" t="s">
        <v>1218</v>
      </c>
    </row>
    <row r="517" spans="1:6" x14ac:dyDescent="0.25">
      <c r="A517">
        <v>735</v>
      </c>
      <c r="B517" s="3">
        <v>45268</v>
      </c>
      <c r="C517" t="s">
        <v>33</v>
      </c>
      <c r="D517" t="s">
        <v>10</v>
      </c>
      <c r="E517" s="13">
        <v>0.60277777777777775</v>
      </c>
      <c r="F517" t="s">
        <v>1217</v>
      </c>
    </row>
    <row r="518" spans="1:6" x14ac:dyDescent="0.25">
      <c r="A518">
        <v>736</v>
      </c>
      <c r="B518" s="3">
        <v>45219</v>
      </c>
      <c r="C518" t="s">
        <v>33</v>
      </c>
      <c r="D518" t="s">
        <v>10</v>
      </c>
      <c r="E518" s="13">
        <v>0.89930555555555558</v>
      </c>
      <c r="F518" t="s">
        <v>1217</v>
      </c>
    </row>
    <row r="519" spans="1:6" x14ac:dyDescent="0.25">
      <c r="A519">
        <v>737</v>
      </c>
      <c r="B519" s="3">
        <v>45240</v>
      </c>
      <c r="C519" t="s">
        <v>33</v>
      </c>
      <c r="D519" t="s">
        <v>10</v>
      </c>
      <c r="E519" s="13">
        <v>0.54791666666666672</v>
      </c>
      <c r="F519" t="s">
        <v>1217</v>
      </c>
    </row>
    <row r="520" spans="1:6" x14ac:dyDescent="0.25">
      <c r="A520">
        <v>737</v>
      </c>
      <c r="B520" s="3">
        <v>45261</v>
      </c>
      <c r="C520" t="s">
        <v>33</v>
      </c>
      <c r="D520" t="s">
        <v>10</v>
      </c>
      <c r="E520" s="13">
        <v>0.5625</v>
      </c>
      <c r="F520" t="s">
        <v>1217</v>
      </c>
    </row>
    <row r="521" spans="1:6" x14ac:dyDescent="0.25">
      <c r="A521">
        <v>737</v>
      </c>
      <c r="B521" s="3">
        <v>45268</v>
      </c>
      <c r="C521" t="s">
        <v>33</v>
      </c>
      <c r="D521" t="s">
        <v>10</v>
      </c>
      <c r="E521" s="13">
        <v>0.54652777777777772</v>
      </c>
      <c r="F521" t="s">
        <v>1217</v>
      </c>
    </row>
    <row r="522" spans="1:6" x14ac:dyDescent="0.25">
      <c r="A522">
        <v>738</v>
      </c>
      <c r="B522" s="3">
        <v>45226</v>
      </c>
      <c r="C522" t="s">
        <v>33</v>
      </c>
      <c r="D522" t="s">
        <v>10</v>
      </c>
      <c r="E522" s="13">
        <v>0.57430555555555551</v>
      </c>
      <c r="F522" t="s">
        <v>1217</v>
      </c>
    </row>
    <row r="523" spans="1:6" x14ac:dyDescent="0.25">
      <c r="A523">
        <v>738</v>
      </c>
      <c r="B523" s="3">
        <v>45233</v>
      </c>
      <c r="C523" t="s">
        <v>33</v>
      </c>
      <c r="D523" t="s">
        <v>10</v>
      </c>
      <c r="E523" s="13">
        <v>0.59930555555555554</v>
      </c>
      <c r="F523" t="s">
        <v>1218</v>
      </c>
    </row>
    <row r="524" spans="1:6" x14ac:dyDescent="0.25">
      <c r="A524">
        <v>738</v>
      </c>
      <c r="B524" s="3">
        <v>45240</v>
      </c>
      <c r="C524" t="s">
        <v>33</v>
      </c>
      <c r="D524" t="s">
        <v>10</v>
      </c>
      <c r="E524" s="13">
        <v>0.5708333333333333</v>
      </c>
      <c r="F524" t="s">
        <v>1218</v>
      </c>
    </row>
    <row r="525" spans="1:6" x14ac:dyDescent="0.25">
      <c r="A525">
        <v>738</v>
      </c>
      <c r="B525" s="3">
        <v>45254</v>
      </c>
      <c r="C525" t="s">
        <v>33</v>
      </c>
      <c r="D525" t="s">
        <v>10</v>
      </c>
      <c r="E525" s="13">
        <v>0.56944444444444442</v>
      </c>
      <c r="F525" t="s">
        <v>1218</v>
      </c>
    </row>
    <row r="526" spans="1:6" x14ac:dyDescent="0.25">
      <c r="A526">
        <v>738</v>
      </c>
      <c r="B526" s="3">
        <v>45261</v>
      </c>
      <c r="C526" t="s">
        <v>33</v>
      </c>
      <c r="D526" t="s">
        <v>10</v>
      </c>
      <c r="E526" s="13">
        <v>0.56736111111111109</v>
      </c>
      <c r="F526" t="s">
        <v>1218</v>
      </c>
    </row>
    <row r="527" spans="1:6" x14ac:dyDescent="0.25">
      <c r="A527">
        <v>738</v>
      </c>
      <c r="B527" s="3">
        <v>45268</v>
      </c>
      <c r="C527" t="s">
        <v>33</v>
      </c>
      <c r="D527" t="s">
        <v>10</v>
      </c>
      <c r="E527" s="13">
        <v>0.56111111111111112</v>
      </c>
      <c r="F527" t="s">
        <v>1217</v>
      </c>
    </row>
    <row r="528" spans="1:6" x14ac:dyDescent="0.25">
      <c r="A528">
        <v>738</v>
      </c>
      <c r="B528" s="3">
        <v>45282</v>
      </c>
      <c r="C528" t="s">
        <v>33</v>
      </c>
      <c r="D528" t="s">
        <v>10</v>
      </c>
      <c r="E528" s="13">
        <v>0.54097222222222219</v>
      </c>
      <c r="F528" t="s">
        <v>1217</v>
      </c>
    </row>
    <row r="529" spans="1:6" x14ac:dyDescent="0.25">
      <c r="A529">
        <v>739</v>
      </c>
      <c r="B529" s="3">
        <v>45226</v>
      </c>
      <c r="C529" t="s">
        <v>33</v>
      </c>
      <c r="D529" t="s">
        <v>10</v>
      </c>
      <c r="E529" s="13">
        <v>0.5756944444444444</v>
      </c>
      <c r="F529" t="s">
        <v>1217</v>
      </c>
    </row>
    <row r="530" spans="1:6" x14ac:dyDescent="0.25">
      <c r="A530">
        <v>739</v>
      </c>
      <c r="B530" s="3">
        <v>45240</v>
      </c>
      <c r="C530" t="s">
        <v>33</v>
      </c>
      <c r="D530" t="s">
        <v>10</v>
      </c>
      <c r="E530" s="13">
        <v>0.59583333333333333</v>
      </c>
      <c r="F530" t="s">
        <v>1218</v>
      </c>
    </row>
    <row r="531" spans="1:6" x14ac:dyDescent="0.25">
      <c r="A531">
        <v>739</v>
      </c>
      <c r="B531" s="3">
        <v>45254</v>
      </c>
      <c r="C531" t="s">
        <v>33</v>
      </c>
      <c r="D531" t="s">
        <v>10</v>
      </c>
      <c r="E531" s="13">
        <v>0.6020833333333333</v>
      </c>
      <c r="F531" t="s">
        <v>1218</v>
      </c>
    </row>
    <row r="532" spans="1:6" x14ac:dyDescent="0.25">
      <c r="A532">
        <v>739</v>
      </c>
      <c r="B532" s="3">
        <v>45275</v>
      </c>
      <c r="C532" t="s">
        <v>33</v>
      </c>
      <c r="D532" t="s">
        <v>10</v>
      </c>
      <c r="E532" s="13">
        <v>0.57222222222222219</v>
      </c>
      <c r="F532" t="s">
        <v>1218</v>
      </c>
    </row>
    <row r="533" spans="1:6" x14ac:dyDescent="0.25">
      <c r="A533">
        <v>740</v>
      </c>
      <c r="B533" s="3">
        <v>45219</v>
      </c>
      <c r="C533" t="s">
        <v>33</v>
      </c>
      <c r="D533" t="s">
        <v>10</v>
      </c>
      <c r="E533" s="13">
        <v>0.89930555555555558</v>
      </c>
      <c r="F533" t="s">
        <v>1217</v>
      </c>
    </row>
    <row r="534" spans="1:6" x14ac:dyDescent="0.25">
      <c r="A534">
        <v>740</v>
      </c>
      <c r="B534" s="3">
        <v>45226</v>
      </c>
      <c r="C534" t="s">
        <v>33</v>
      </c>
      <c r="D534" t="s">
        <v>10</v>
      </c>
      <c r="E534" s="13">
        <v>0.57430555555555551</v>
      </c>
      <c r="F534" t="s">
        <v>1217</v>
      </c>
    </row>
    <row r="535" spans="1:6" x14ac:dyDescent="0.25">
      <c r="A535">
        <v>740</v>
      </c>
      <c r="B535" s="3">
        <v>45233</v>
      </c>
      <c r="C535" t="s">
        <v>33</v>
      </c>
      <c r="D535" t="s">
        <v>10</v>
      </c>
      <c r="E535" s="13">
        <v>0.56180555555555556</v>
      </c>
      <c r="F535" t="s">
        <v>1217</v>
      </c>
    </row>
    <row r="536" spans="1:6" x14ac:dyDescent="0.25">
      <c r="A536">
        <v>740</v>
      </c>
      <c r="B536" s="3">
        <v>45240</v>
      </c>
      <c r="C536" t="s">
        <v>33</v>
      </c>
      <c r="D536" t="s">
        <v>10</v>
      </c>
      <c r="E536" s="13">
        <v>0.57361111111111107</v>
      </c>
      <c r="F536" t="s">
        <v>1218</v>
      </c>
    </row>
    <row r="537" spans="1:6" x14ac:dyDescent="0.25">
      <c r="A537">
        <v>740</v>
      </c>
      <c r="B537" s="3">
        <v>45261</v>
      </c>
      <c r="C537" t="s">
        <v>33</v>
      </c>
      <c r="D537" t="s">
        <v>10</v>
      </c>
      <c r="E537" s="13">
        <v>0.52847222222222223</v>
      </c>
      <c r="F537" t="s">
        <v>1217</v>
      </c>
    </row>
    <row r="538" spans="1:6" x14ac:dyDescent="0.25">
      <c r="A538">
        <v>740</v>
      </c>
      <c r="B538" s="3">
        <v>45268</v>
      </c>
      <c r="C538" t="s">
        <v>33</v>
      </c>
      <c r="D538" t="s">
        <v>10</v>
      </c>
      <c r="E538" s="13">
        <v>0.54027777777777775</v>
      </c>
      <c r="F538" t="s">
        <v>1217</v>
      </c>
    </row>
    <row r="539" spans="1:6" x14ac:dyDescent="0.25">
      <c r="A539">
        <v>740</v>
      </c>
      <c r="B539" s="3">
        <v>45275</v>
      </c>
      <c r="C539" t="s">
        <v>33</v>
      </c>
      <c r="D539" t="s">
        <v>10</v>
      </c>
      <c r="E539" s="13">
        <v>0.56111111111111112</v>
      </c>
      <c r="F539" t="s">
        <v>1217</v>
      </c>
    </row>
    <row r="540" spans="1:6" x14ac:dyDescent="0.25">
      <c r="A540">
        <v>740</v>
      </c>
      <c r="B540" s="3">
        <v>45282</v>
      </c>
      <c r="C540" t="s">
        <v>33</v>
      </c>
      <c r="D540" t="s">
        <v>10</v>
      </c>
      <c r="E540" s="13">
        <v>0.56041666666666667</v>
      </c>
      <c r="F540" t="s">
        <v>1217</v>
      </c>
    </row>
    <row r="541" spans="1:6" x14ac:dyDescent="0.25">
      <c r="A541">
        <v>742</v>
      </c>
      <c r="B541" s="3">
        <v>45219</v>
      </c>
      <c r="C541" t="s">
        <v>33</v>
      </c>
      <c r="D541" t="s">
        <v>10</v>
      </c>
      <c r="E541" s="13">
        <v>0.89861111111111114</v>
      </c>
      <c r="F541" t="s">
        <v>1217</v>
      </c>
    </row>
    <row r="542" spans="1:6" x14ac:dyDescent="0.25">
      <c r="A542">
        <v>742</v>
      </c>
      <c r="B542" s="3">
        <v>45240</v>
      </c>
      <c r="C542" t="s">
        <v>33</v>
      </c>
      <c r="D542" t="s">
        <v>10</v>
      </c>
      <c r="E542" s="13">
        <v>0.56180555555555556</v>
      </c>
      <c r="F542" t="s">
        <v>1217</v>
      </c>
    </row>
    <row r="543" spans="1:6" x14ac:dyDescent="0.25">
      <c r="A543">
        <v>742</v>
      </c>
      <c r="B543" s="3">
        <v>45254</v>
      </c>
      <c r="C543" t="s">
        <v>33</v>
      </c>
      <c r="D543" t="s">
        <v>10</v>
      </c>
      <c r="E543" s="13">
        <v>0.5756944444444444</v>
      </c>
      <c r="F543" t="s">
        <v>1218</v>
      </c>
    </row>
    <row r="544" spans="1:6" x14ac:dyDescent="0.25">
      <c r="A544">
        <v>742</v>
      </c>
      <c r="B544" s="3">
        <v>45261</v>
      </c>
      <c r="C544" t="s">
        <v>33</v>
      </c>
      <c r="D544" t="s">
        <v>10</v>
      </c>
      <c r="E544" s="13">
        <v>0.57430555555555551</v>
      </c>
      <c r="F544" t="s">
        <v>1218</v>
      </c>
    </row>
    <row r="545" spans="1:6" x14ac:dyDescent="0.25">
      <c r="A545">
        <v>742</v>
      </c>
      <c r="B545" s="3">
        <v>45268</v>
      </c>
      <c r="C545" t="s">
        <v>33</v>
      </c>
      <c r="D545" t="s">
        <v>10</v>
      </c>
      <c r="E545" s="13">
        <v>0.55208333333333337</v>
      </c>
      <c r="F545" t="s">
        <v>1217</v>
      </c>
    </row>
    <row r="546" spans="1:6" x14ac:dyDescent="0.25">
      <c r="A546">
        <v>745</v>
      </c>
      <c r="B546" s="3">
        <v>45226</v>
      </c>
      <c r="C546" t="s">
        <v>33</v>
      </c>
      <c r="D546" t="s">
        <v>10</v>
      </c>
      <c r="E546" s="13">
        <v>0.57986111111111116</v>
      </c>
      <c r="F546" t="s">
        <v>1217</v>
      </c>
    </row>
    <row r="547" spans="1:6" x14ac:dyDescent="0.25">
      <c r="A547">
        <v>745</v>
      </c>
      <c r="B547" s="3">
        <v>45233</v>
      </c>
      <c r="C547" t="s">
        <v>33</v>
      </c>
      <c r="D547" t="s">
        <v>10</v>
      </c>
      <c r="E547" s="13">
        <v>0.53125</v>
      </c>
      <c r="F547" t="s">
        <v>1217</v>
      </c>
    </row>
    <row r="548" spans="1:6" x14ac:dyDescent="0.25">
      <c r="A548">
        <v>745</v>
      </c>
      <c r="B548" s="3">
        <v>45240</v>
      </c>
      <c r="C548" t="s">
        <v>33</v>
      </c>
      <c r="D548" t="s">
        <v>10</v>
      </c>
      <c r="E548" s="13">
        <v>0.54791666666666672</v>
      </c>
      <c r="F548" t="s">
        <v>1217</v>
      </c>
    </row>
    <row r="549" spans="1:6" x14ac:dyDescent="0.25">
      <c r="A549">
        <v>745</v>
      </c>
      <c r="B549" s="3">
        <v>45254</v>
      </c>
      <c r="C549" t="s">
        <v>33</v>
      </c>
      <c r="D549" t="s">
        <v>10</v>
      </c>
      <c r="E549" s="13">
        <v>0.55347222222222225</v>
      </c>
      <c r="F549" t="s">
        <v>1217</v>
      </c>
    </row>
    <row r="550" spans="1:6" x14ac:dyDescent="0.25">
      <c r="A550">
        <v>745</v>
      </c>
      <c r="B550" s="3">
        <v>45268</v>
      </c>
      <c r="C550" t="s">
        <v>33</v>
      </c>
      <c r="D550" t="s">
        <v>10</v>
      </c>
      <c r="E550" s="13">
        <v>0.54652777777777772</v>
      </c>
      <c r="F550" t="s">
        <v>1217</v>
      </c>
    </row>
    <row r="551" spans="1:6" x14ac:dyDescent="0.25">
      <c r="A551">
        <v>745</v>
      </c>
      <c r="B551" s="3">
        <v>45275</v>
      </c>
      <c r="C551" t="s">
        <v>33</v>
      </c>
      <c r="D551" t="s">
        <v>10</v>
      </c>
      <c r="E551" s="13">
        <v>0.5493055555555556</v>
      </c>
      <c r="F551" t="s">
        <v>1217</v>
      </c>
    </row>
    <row r="552" spans="1:6" x14ac:dyDescent="0.25">
      <c r="A552">
        <v>746</v>
      </c>
      <c r="B552" s="3">
        <v>45240</v>
      </c>
      <c r="C552" t="s">
        <v>33</v>
      </c>
      <c r="D552" t="s">
        <v>10</v>
      </c>
      <c r="E552" s="13">
        <v>0.57291666666666663</v>
      </c>
      <c r="F552" t="s">
        <v>1218</v>
      </c>
    </row>
    <row r="553" spans="1:6" x14ac:dyDescent="0.25">
      <c r="A553">
        <v>747</v>
      </c>
      <c r="B553" s="3">
        <v>45254</v>
      </c>
      <c r="C553" t="s">
        <v>33</v>
      </c>
      <c r="D553" t="s">
        <v>10</v>
      </c>
      <c r="E553" s="13">
        <v>0.54513888888888884</v>
      </c>
      <c r="F553" t="s">
        <v>1217</v>
      </c>
    </row>
    <row r="554" spans="1:6" x14ac:dyDescent="0.25">
      <c r="A554">
        <v>802</v>
      </c>
      <c r="B554" s="3">
        <v>45198</v>
      </c>
      <c r="C554" t="s">
        <v>33</v>
      </c>
      <c r="D554" t="s">
        <v>34</v>
      </c>
      <c r="E554" s="13">
        <v>0.6166666666666667</v>
      </c>
      <c r="F554" t="s">
        <v>1218</v>
      </c>
    </row>
    <row r="555" spans="1:6" x14ac:dyDescent="0.25">
      <c r="A555">
        <v>802</v>
      </c>
      <c r="B555" s="3">
        <v>45212</v>
      </c>
      <c r="C555" t="s">
        <v>33</v>
      </c>
      <c r="D555" t="s">
        <v>34</v>
      </c>
      <c r="E555" s="13">
        <v>0.59791666666666665</v>
      </c>
      <c r="F555" t="s">
        <v>1218</v>
      </c>
    </row>
    <row r="556" spans="1:6" x14ac:dyDescent="0.25">
      <c r="A556">
        <v>802</v>
      </c>
      <c r="B556" s="3">
        <v>45219</v>
      </c>
      <c r="C556" t="s">
        <v>33</v>
      </c>
      <c r="D556" t="s">
        <v>34</v>
      </c>
      <c r="E556" s="13">
        <v>0.9</v>
      </c>
      <c r="F556" t="s">
        <v>1217</v>
      </c>
    </row>
    <row r="557" spans="1:6" x14ac:dyDescent="0.25">
      <c r="A557">
        <v>802</v>
      </c>
      <c r="B557" s="3">
        <v>45226</v>
      </c>
      <c r="C557" t="s">
        <v>33</v>
      </c>
      <c r="D557" t="s">
        <v>34</v>
      </c>
      <c r="E557" s="13">
        <v>0.62916666666666665</v>
      </c>
      <c r="F557" t="s">
        <v>1217</v>
      </c>
    </row>
    <row r="558" spans="1:6" x14ac:dyDescent="0.25">
      <c r="A558">
        <v>802</v>
      </c>
      <c r="B558" s="3">
        <v>45233</v>
      </c>
      <c r="C558" t="s">
        <v>33</v>
      </c>
      <c r="D558" t="s">
        <v>34</v>
      </c>
      <c r="E558" s="13">
        <v>0.58888888888888891</v>
      </c>
      <c r="F558" t="s">
        <v>1218</v>
      </c>
    </row>
    <row r="559" spans="1:6" x14ac:dyDescent="0.25">
      <c r="A559">
        <v>802</v>
      </c>
      <c r="B559" s="3">
        <v>45240</v>
      </c>
      <c r="C559" t="s">
        <v>33</v>
      </c>
      <c r="D559" t="s">
        <v>34</v>
      </c>
      <c r="E559" s="13">
        <v>0.6166666666666667</v>
      </c>
      <c r="F559" t="s">
        <v>1218</v>
      </c>
    </row>
    <row r="560" spans="1:6" x14ac:dyDescent="0.25">
      <c r="A560">
        <v>802</v>
      </c>
      <c r="B560" s="3">
        <v>45254</v>
      </c>
      <c r="C560" t="s">
        <v>33</v>
      </c>
      <c r="D560" t="s">
        <v>34</v>
      </c>
      <c r="E560" s="13">
        <v>0.57708333333333328</v>
      </c>
      <c r="F560" t="s">
        <v>1218</v>
      </c>
    </row>
    <row r="561" spans="1:6" x14ac:dyDescent="0.25">
      <c r="A561">
        <v>802</v>
      </c>
      <c r="B561" s="3">
        <v>45261</v>
      </c>
      <c r="C561" t="s">
        <v>33</v>
      </c>
      <c r="D561" t="s">
        <v>34</v>
      </c>
      <c r="E561" s="13">
        <v>0.54722222222222228</v>
      </c>
      <c r="F561" t="s">
        <v>1217</v>
      </c>
    </row>
    <row r="562" spans="1:6" x14ac:dyDescent="0.25">
      <c r="A562">
        <v>802</v>
      </c>
      <c r="B562" s="3">
        <v>45268</v>
      </c>
      <c r="C562" t="s">
        <v>33</v>
      </c>
      <c r="D562" t="s">
        <v>34</v>
      </c>
      <c r="E562" s="13">
        <v>0.55833333333333335</v>
      </c>
      <c r="F562" t="s">
        <v>1217</v>
      </c>
    </row>
    <row r="563" spans="1:6" x14ac:dyDescent="0.25">
      <c r="A563">
        <v>803</v>
      </c>
      <c r="B563" s="3">
        <v>45205</v>
      </c>
      <c r="C563" t="s">
        <v>33</v>
      </c>
      <c r="D563" t="s">
        <v>34</v>
      </c>
      <c r="E563" s="13">
        <v>0.625</v>
      </c>
      <c r="F563" t="s">
        <v>1217</v>
      </c>
    </row>
    <row r="564" spans="1:6" x14ac:dyDescent="0.25">
      <c r="A564">
        <v>803</v>
      </c>
      <c r="B564" s="3">
        <v>45212</v>
      </c>
      <c r="C564" t="s">
        <v>33</v>
      </c>
      <c r="D564" t="s">
        <v>34</v>
      </c>
      <c r="E564" s="13">
        <v>0.60833333333333328</v>
      </c>
      <c r="F564" t="s">
        <v>1218</v>
      </c>
    </row>
    <row r="565" spans="1:6" x14ac:dyDescent="0.25">
      <c r="A565">
        <v>803</v>
      </c>
      <c r="B565" s="3">
        <v>45226</v>
      </c>
      <c r="C565" t="s">
        <v>33</v>
      </c>
      <c r="D565" t="s">
        <v>34</v>
      </c>
      <c r="E565" s="13">
        <v>0.62916666666666665</v>
      </c>
      <c r="F565" t="s">
        <v>1217</v>
      </c>
    </row>
    <row r="566" spans="1:6" x14ac:dyDescent="0.25">
      <c r="A566">
        <v>803</v>
      </c>
      <c r="B566" s="3">
        <v>45240</v>
      </c>
      <c r="C566" t="s">
        <v>33</v>
      </c>
      <c r="D566" t="s">
        <v>34</v>
      </c>
      <c r="E566" s="13">
        <v>0.5541666666666667</v>
      </c>
      <c r="F566" t="s">
        <v>1217</v>
      </c>
    </row>
    <row r="567" spans="1:6" x14ac:dyDescent="0.25">
      <c r="A567">
        <v>803</v>
      </c>
      <c r="B567" s="3">
        <v>45254</v>
      </c>
      <c r="C567" t="s">
        <v>33</v>
      </c>
      <c r="D567" t="s">
        <v>34</v>
      </c>
      <c r="E567" s="13">
        <v>0.55000000000000004</v>
      </c>
      <c r="F567" t="s">
        <v>1217</v>
      </c>
    </row>
    <row r="568" spans="1:6" x14ac:dyDescent="0.25">
      <c r="A568">
        <v>803</v>
      </c>
      <c r="B568" s="3">
        <v>45275</v>
      </c>
      <c r="C568" t="s">
        <v>33</v>
      </c>
      <c r="D568" t="s">
        <v>34</v>
      </c>
      <c r="E568" s="13">
        <v>0.55486111111111114</v>
      </c>
      <c r="F568" t="s">
        <v>1217</v>
      </c>
    </row>
    <row r="569" spans="1:6" x14ac:dyDescent="0.25">
      <c r="A569">
        <v>803</v>
      </c>
      <c r="B569" s="3">
        <v>45282</v>
      </c>
      <c r="C569" t="s">
        <v>33</v>
      </c>
      <c r="D569" t="s">
        <v>34</v>
      </c>
      <c r="E569" s="13">
        <v>0.55347222222222225</v>
      </c>
      <c r="F569" t="s">
        <v>1217</v>
      </c>
    </row>
    <row r="570" spans="1:6" x14ac:dyDescent="0.25">
      <c r="A570">
        <v>810</v>
      </c>
      <c r="B570" s="3">
        <v>45233</v>
      </c>
      <c r="C570" t="s">
        <v>33</v>
      </c>
      <c r="D570" t="s">
        <v>11</v>
      </c>
      <c r="E570" s="13">
        <v>0.56944444444444442</v>
      </c>
      <c r="F570" t="s">
        <v>1218</v>
      </c>
    </row>
    <row r="571" spans="1:6" x14ac:dyDescent="0.25">
      <c r="A571">
        <v>811</v>
      </c>
      <c r="B571" s="3">
        <v>45226</v>
      </c>
      <c r="C571" t="s">
        <v>33</v>
      </c>
      <c r="D571" t="s">
        <v>11</v>
      </c>
      <c r="E571" s="13">
        <v>0.57777777777777772</v>
      </c>
      <c r="F571" t="s">
        <v>1217</v>
      </c>
    </row>
    <row r="572" spans="1:6" x14ac:dyDescent="0.25">
      <c r="A572">
        <v>811</v>
      </c>
      <c r="B572" s="3">
        <v>45233</v>
      </c>
      <c r="C572" t="s">
        <v>33</v>
      </c>
      <c r="D572" t="s">
        <v>11</v>
      </c>
      <c r="E572" s="13">
        <v>0.6069444444444444</v>
      </c>
      <c r="F572" t="s">
        <v>1218</v>
      </c>
    </row>
    <row r="573" spans="1:6" x14ac:dyDescent="0.25">
      <c r="A573">
        <v>811</v>
      </c>
      <c r="B573" s="3">
        <v>45254</v>
      </c>
      <c r="C573" t="s">
        <v>33</v>
      </c>
      <c r="D573" t="s">
        <v>11</v>
      </c>
      <c r="E573" s="13">
        <v>0.58958333333333335</v>
      </c>
      <c r="F573" t="s">
        <v>1218</v>
      </c>
    </row>
    <row r="574" spans="1:6" x14ac:dyDescent="0.25">
      <c r="A574">
        <v>811</v>
      </c>
      <c r="B574" s="3">
        <v>45268</v>
      </c>
      <c r="C574" t="s">
        <v>33</v>
      </c>
      <c r="D574" t="s">
        <v>11</v>
      </c>
      <c r="E574" s="13">
        <v>0.5756944444444444</v>
      </c>
      <c r="F574" t="s">
        <v>1218</v>
      </c>
    </row>
    <row r="575" spans="1:6" x14ac:dyDescent="0.25">
      <c r="A575">
        <v>815</v>
      </c>
      <c r="B575" s="3">
        <v>45226</v>
      </c>
      <c r="C575" t="s">
        <v>33</v>
      </c>
      <c r="D575" t="s">
        <v>11</v>
      </c>
      <c r="E575" s="13">
        <v>0.57777777777777772</v>
      </c>
      <c r="F575" t="s">
        <v>1217</v>
      </c>
    </row>
    <row r="576" spans="1:6" x14ac:dyDescent="0.25">
      <c r="A576">
        <v>815</v>
      </c>
      <c r="B576" s="3">
        <v>45233</v>
      </c>
      <c r="C576" t="s">
        <v>33</v>
      </c>
      <c r="D576" t="s">
        <v>11</v>
      </c>
      <c r="E576" s="13">
        <v>0.60555555555555551</v>
      </c>
      <c r="F576" t="s">
        <v>1218</v>
      </c>
    </row>
    <row r="577" spans="1:6" x14ac:dyDescent="0.25">
      <c r="A577">
        <v>815</v>
      </c>
      <c r="B577" s="3">
        <v>45254</v>
      </c>
      <c r="C577" t="s">
        <v>33</v>
      </c>
      <c r="D577" t="s">
        <v>11</v>
      </c>
      <c r="E577" s="13">
        <v>0.61388888888888893</v>
      </c>
      <c r="F577" t="s">
        <v>1218</v>
      </c>
    </row>
    <row r="578" spans="1:6" x14ac:dyDescent="0.25">
      <c r="A578">
        <v>817</v>
      </c>
      <c r="B578" s="3">
        <v>45233</v>
      </c>
      <c r="C578" t="s">
        <v>33</v>
      </c>
      <c r="D578" t="s">
        <v>11</v>
      </c>
      <c r="E578" s="13">
        <v>0.57013888888888886</v>
      </c>
      <c r="F578" t="s">
        <v>1218</v>
      </c>
    </row>
    <row r="579" spans="1:6" x14ac:dyDescent="0.25">
      <c r="A579">
        <v>817</v>
      </c>
      <c r="B579" s="3">
        <v>45240</v>
      </c>
      <c r="C579" t="s">
        <v>33</v>
      </c>
      <c r="D579" t="s">
        <v>11</v>
      </c>
      <c r="E579" s="13">
        <v>0.57152777777777775</v>
      </c>
      <c r="F579" t="s">
        <v>1218</v>
      </c>
    </row>
    <row r="580" spans="1:6" x14ac:dyDescent="0.25">
      <c r="A580">
        <v>817</v>
      </c>
      <c r="B580" s="3">
        <v>45254</v>
      </c>
      <c r="C580" t="s">
        <v>33</v>
      </c>
      <c r="D580" t="s">
        <v>11</v>
      </c>
      <c r="E580" s="13">
        <v>0.57361111111111107</v>
      </c>
      <c r="F580" t="s">
        <v>1218</v>
      </c>
    </row>
    <row r="581" spans="1:6" x14ac:dyDescent="0.25">
      <c r="A581">
        <v>817</v>
      </c>
      <c r="B581" s="3">
        <v>45261</v>
      </c>
      <c r="C581" t="s">
        <v>33</v>
      </c>
      <c r="D581" t="s">
        <v>11</v>
      </c>
      <c r="E581" s="13">
        <v>0.56319444444444444</v>
      </c>
      <c r="F581" t="s">
        <v>1218</v>
      </c>
    </row>
    <row r="582" spans="1:6" x14ac:dyDescent="0.25">
      <c r="A582">
        <v>817</v>
      </c>
      <c r="B582" s="3">
        <v>45268</v>
      </c>
      <c r="C582" t="s">
        <v>33</v>
      </c>
      <c r="D582" t="s">
        <v>11</v>
      </c>
      <c r="E582" s="13">
        <v>0.5625</v>
      </c>
      <c r="F582" t="s">
        <v>1217</v>
      </c>
    </row>
    <row r="583" spans="1:6" x14ac:dyDescent="0.25">
      <c r="A583">
        <v>817</v>
      </c>
      <c r="B583" s="3">
        <v>45282</v>
      </c>
      <c r="C583" t="s">
        <v>33</v>
      </c>
      <c r="D583" t="s">
        <v>11</v>
      </c>
      <c r="E583" s="13">
        <v>0.56874999999999998</v>
      </c>
      <c r="F583" t="s">
        <v>1218</v>
      </c>
    </row>
    <row r="584" spans="1:6" x14ac:dyDescent="0.25">
      <c r="A584">
        <v>818</v>
      </c>
      <c r="B584" s="3">
        <v>45226</v>
      </c>
      <c r="C584" t="s">
        <v>33</v>
      </c>
      <c r="D584" t="s">
        <v>11</v>
      </c>
      <c r="E584" s="13">
        <v>0.5756944444444444</v>
      </c>
      <c r="F584" t="s">
        <v>1217</v>
      </c>
    </row>
    <row r="585" spans="1:6" x14ac:dyDescent="0.25">
      <c r="A585">
        <v>818</v>
      </c>
      <c r="B585" s="3">
        <v>45233</v>
      </c>
      <c r="C585" t="s">
        <v>33</v>
      </c>
      <c r="D585" t="s">
        <v>11</v>
      </c>
      <c r="E585" s="13">
        <v>0.57222222222222219</v>
      </c>
      <c r="F585" t="s">
        <v>1218</v>
      </c>
    </row>
    <row r="586" spans="1:6" x14ac:dyDescent="0.25">
      <c r="A586">
        <v>818</v>
      </c>
      <c r="B586" s="3">
        <v>45240</v>
      </c>
      <c r="C586" t="s">
        <v>33</v>
      </c>
      <c r="D586" t="s">
        <v>11</v>
      </c>
      <c r="E586" s="13">
        <v>0.57430555555555551</v>
      </c>
      <c r="F586" t="s">
        <v>1218</v>
      </c>
    </row>
    <row r="587" spans="1:6" x14ac:dyDescent="0.25">
      <c r="A587">
        <v>818</v>
      </c>
      <c r="B587" s="3">
        <v>45261</v>
      </c>
      <c r="C587" t="s">
        <v>33</v>
      </c>
      <c r="D587" t="s">
        <v>11</v>
      </c>
      <c r="E587" s="13">
        <v>0.5805555555555556</v>
      </c>
      <c r="F587" t="s">
        <v>1218</v>
      </c>
    </row>
    <row r="588" spans="1:6" x14ac:dyDescent="0.25">
      <c r="A588">
        <v>819</v>
      </c>
      <c r="B588" s="3">
        <v>45240</v>
      </c>
      <c r="C588" t="s">
        <v>33</v>
      </c>
      <c r="D588" t="s">
        <v>11</v>
      </c>
      <c r="E588" s="13">
        <v>0.58333333333333337</v>
      </c>
      <c r="F588" t="s">
        <v>1218</v>
      </c>
    </row>
    <row r="589" spans="1:6" x14ac:dyDescent="0.25">
      <c r="A589">
        <v>820</v>
      </c>
      <c r="B589" s="3">
        <v>45254</v>
      </c>
      <c r="C589" t="s">
        <v>33</v>
      </c>
      <c r="D589" t="s">
        <v>11</v>
      </c>
      <c r="E589" s="13">
        <v>0.57430555555555551</v>
      </c>
      <c r="F589" t="s">
        <v>1218</v>
      </c>
    </row>
    <row r="590" spans="1:6" x14ac:dyDescent="0.25">
      <c r="A590">
        <v>820</v>
      </c>
      <c r="B590" s="3">
        <v>45261</v>
      </c>
      <c r="C590" t="s">
        <v>33</v>
      </c>
      <c r="D590" t="s">
        <v>11</v>
      </c>
      <c r="E590" s="13">
        <v>0.5625</v>
      </c>
      <c r="F590" t="s">
        <v>1218</v>
      </c>
    </row>
    <row r="591" spans="1:6" x14ac:dyDescent="0.25">
      <c r="A591">
        <v>824</v>
      </c>
      <c r="B591" s="3">
        <v>45233</v>
      </c>
      <c r="C591" t="s">
        <v>33</v>
      </c>
      <c r="D591" t="s">
        <v>11</v>
      </c>
      <c r="E591" s="13">
        <v>0.56388888888888888</v>
      </c>
      <c r="F591" t="s">
        <v>1218</v>
      </c>
    </row>
    <row r="592" spans="1:6" x14ac:dyDescent="0.25">
      <c r="A592">
        <v>824</v>
      </c>
      <c r="B592" s="3">
        <v>45268</v>
      </c>
      <c r="C592" t="s">
        <v>33</v>
      </c>
      <c r="D592" t="s">
        <v>11</v>
      </c>
      <c r="E592" s="13">
        <v>0.55902777777777779</v>
      </c>
      <c r="F592" t="s">
        <v>1217</v>
      </c>
    </row>
    <row r="593" spans="1:6" x14ac:dyDescent="0.25">
      <c r="A593">
        <v>824</v>
      </c>
      <c r="B593" s="3">
        <v>45282</v>
      </c>
      <c r="C593" t="s">
        <v>33</v>
      </c>
      <c r="D593" t="s">
        <v>11</v>
      </c>
      <c r="E593" s="13">
        <v>0.55069444444444449</v>
      </c>
      <c r="F593" t="s">
        <v>1217</v>
      </c>
    </row>
    <row r="594" spans="1:6" x14ac:dyDescent="0.25">
      <c r="A594">
        <v>826</v>
      </c>
      <c r="B594" s="3">
        <v>45240</v>
      </c>
      <c r="C594" t="s">
        <v>33</v>
      </c>
      <c r="D594" t="s">
        <v>11</v>
      </c>
      <c r="E594" s="13">
        <v>0.5493055555555556</v>
      </c>
      <c r="F594" t="s">
        <v>1217</v>
      </c>
    </row>
    <row r="595" spans="1:6" x14ac:dyDescent="0.25">
      <c r="A595">
        <v>826</v>
      </c>
      <c r="B595" s="3">
        <v>45261</v>
      </c>
      <c r="C595" t="s">
        <v>33</v>
      </c>
      <c r="D595" t="s">
        <v>11</v>
      </c>
      <c r="E595" s="13">
        <v>0.54861111111111116</v>
      </c>
      <c r="F595" t="s">
        <v>1217</v>
      </c>
    </row>
    <row r="596" spans="1:6" x14ac:dyDescent="0.25">
      <c r="A596">
        <v>826</v>
      </c>
      <c r="B596" s="3">
        <v>45268</v>
      </c>
      <c r="C596" t="s">
        <v>33</v>
      </c>
      <c r="D596" t="s">
        <v>11</v>
      </c>
      <c r="E596" s="13">
        <v>0.60972222222222228</v>
      </c>
      <c r="F596" t="s">
        <v>1218</v>
      </c>
    </row>
    <row r="597" spans="1:6" x14ac:dyDescent="0.25">
      <c r="A597">
        <v>833</v>
      </c>
      <c r="B597" s="3">
        <v>45226</v>
      </c>
      <c r="C597" t="s">
        <v>33</v>
      </c>
      <c r="D597" t="s">
        <v>11</v>
      </c>
      <c r="E597" s="13">
        <v>0.61805555555555558</v>
      </c>
      <c r="F597" t="s">
        <v>1217</v>
      </c>
    </row>
    <row r="598" spans="1:6" x14ac:dyDescent="0.25">
      <c r="A598">
        <v>833</v>
      </c>
      <c r="B598" s="3">
        <v>45254</v>
      </c>
      <c r="C598" t="s">
        <v>33</v>
      </c>
      <c r="D598" t="s">
        <v>11</v>
      </c>
      <c r="E598" s="13">
        <v>0.56874999999999998</v>
      </c>
      <c r="F598" t="s">
        <v>1218</v>
      </c>
    </row>
    <row r="599" spans="1:6" x14ac:dyDescent="0.25">
      <c r="A599">
        <v>835</v>
      </c>
      <c r="B599" s="3">
        <v>45233</v>
      </c>
      <c r="C599" t="s">
        <v>33</v>
      </c>
      <c r="D599" t="s">
        <v>11</v>
      </c>
      <c r="E599" s="13">
        <v>0.55555555555555558</v>
      </c>
      <c r="F599" t="s">
        <v>1217</v>
      </c>
    </row>
    <row r="600" spans="1:6" x14ac:dyDescent="0.25">
      <c r="A600">
        <v>835</v>
      </c>
      <c r="B600" s="3">
        <v>45261</v>
      </c>
      <c r="C600" t="s">
        <v>33</v>
      </c>
      <c r="D600" t="s">
        <v>11</v>
      </c>
      <c r="E600" s="13">
        <v>0.55833333333333335</v>
      </c>
      <c r="F600" t="s">
        <v>1217</v>
      </c>
    </row>
    <row r="601" spans="1:6" x14ac:dyDescent="0.25">
      <c r="A601">
        <v>836</v>
      </c>
      <c r="B601" s="3">
        <v>45240</v>
      </c>
      <c r="C601" t="s">
        <v>33</v>
      </c>
      <c r="D601" t="s">
        <v>11</v>
      </c>
      <c r="E601" s="13">
        <v>0.57708333333333328</v>
      </c>
      <c r="F601" t="s">
        <v>1218</v>
      </c>
    </row>
    <row r="602" spans="1:6" x14ac:dyDescent="0.25">
      <c r="A602">
        <v>836</v>
      </c>
      <c r="B602" s="3">
        <v>45254</v>
      </c>
      <c r="C602" t="s">
        <v>33</v>
      </c>
      <c r="D602" t="s">
        <v>11</v>
      </c>
      <c r="E602" s="13">
        <v>8.4722222222222227E-2</v>
      </c>
      <c r="F602" t="s">
        <v>1217</v>
      </c>
    </row>
    <row r="603" spans="1:6" x14ac:dyDescent="0.25">
      <c r="A603">
        <v>836</v>
      </c>
      <c r="B603" s="3">
        <v>45282</v>
      </c>
      <c r="C603" t="s">
        <v>33</v>
      </c>
      <c r="D603" t="s">
        <v>11</v>
      </c>
      <c r="E603" s="13">
        <v>0.58333333333333337</v>
      </c>
      <c r="F603" t="s">
        <v>1218</v>
      </c>
    </row>
    <row r="604" spans="1:6" x14ac:dyDescent="0.25">
      <c r="A604">
        <v>838</v>
      </c>
      <c r="B604" s="3">
        <v>45226</v>
      </c>
      <c r="C604" t="s">
        <v>33</v>
      </c>
      <c r="D604" t="s">
        <v>11</v>
      </c>
      <c r="E604" s="13">
        <v>0.5756944444444444</v>
      </c>
      <c r="F604" t="s">
        <v>1217</v>
      </c>
    </row>
    <row r="605" spans="1:6" x14ac:dyDescent="0.25">
      <c r="A605">
        <v>838</v>
      </c>
      <c r="B605" s="3">
        <v>45233</v>
      </c>
      <c r="C605" t="s">
        <v>33</v>
      </c>
      <c r="D605" t="s">
        <v>11</v>
      </c>
      <c r="E605" s="13">
        <v>0.57152777777777775</v>
      </c>
      <c r="F605" t="s">
        <v>1218</v>
      </c>
    </row>
    <row r="606" spans="1:6" x14ac:dyDescent="0.25">
      <c r="A606">
        <v>838</v>
      </c>
      <c r="B606" s="3">
        <v>45240</v>
      </c>
      <c r="C606" t="s">
        <v>33</v>
      </c>
      <c r="D606" t="s">
        <v>11</v>
      </c>
      <c r="E606" s="13">
        <v>0.56736111111111109</v>
      </c>
      <c r="F606" t="s">
        <v>1218</v>
      </c>
    </row>
    <row r="607" spans="1:6" x14ac:dyDescent="0.25">
      <c r="A607">
        <v>838</v>
      </c>
      <c r="B607" s="3">
        <v>45254</v>
      </c>
      <c r="C607" t="s">
        <v>33</v>
      </c>
      <c r="D607" t="s">
        <v>11</v>
      </c>
      <c r="E607" s="13">
        <v>0.55555555555555558</v>
      </c>
      <c r="F607" t="s">
        <v>1217</v>
      </c>
    </row>
    <row r="608" spans="1:6" x14ac:dyDescent="0.25">
      <c r="A608">
        <v>838</v>
      </c>
      <c r="B608" s="3">
        <v>45268</v>
      </c>
      <c r="C608" t="s">
        <v>33</v>
      </c>
      <c r="D608" t="s">
        <v>11</v>
      </c>
      <c r="E608" s="13">
        <v>0.60972222222222228</v>
      </c>
      <c r="F608" t="s">
        <v>1218</v>
      </c>
    </row>
    <row r="609" spans="1:6" x14ac:dyDescent="0.25">
      <c r="A609">
        <v>839</v>
      </c>
      <c r="B609" s="3">
        <v>45268</v>
      </c>
      <c r="C609" t="s">
        <v>33</v>
      </c>
      <c r="D609" t="s">
        <v>11</v>
      </c>
      <c r="E609" s="13">
        <v>0.54722222222222228</v>
      </c>
      <c r="F609" t="s">
        <v>1217</v>
      </c>
    </row>
    <row r="610" spans="1:6" x14ac:dyDescent="0.25">
      <c r="A610">
        <v>840</v>
      </c>
      <c r="B610" s="3">
        <v>45233</v>
      </c>
      <c r="C610" t="s">
        <v>33</v>
      </c>
      <c r="D610" t="s">
        <v>11</v>
      </c>
      <c r="E610" s="13">
        <v>0.55763888888888891</v>
      </c>
      <c r="F610" t="s">
        <v>1217</v>
      </c>
    </row>
    <row r="611" spans="1:6" x14ac:dyDescent="0.25">
      <c r="A611">
        <v>842</v>
      </c>
      <c r="B611" s="3">
        <v>45226</v>
      </c>
      <c r="C611" t="s">
        <v>33</v>
      </c>
      <c r="D611" t="s">
        <v>11</v>
      </c>
      <c r="E611" s="13">
        <v>0.59236111111111112</v>
      </c>
      <c r="F611" t="s">
        <v>1217</v>
      </c>
    </row>
    <row r="612" spans="1:6" x14ac:dyDescent="0.25">
      <c r="A612">
        <v>842</v>
      </c>
      <c r="B612" s="3">
        <v>45233</v>
      </c>
      <c r="C612" t="s">
        <v>33</v>
      </c>
      <c r="D612" t="s">
        <v>11</v>
      </c>
      <c r="E612" s="13">
        <v>0.52569444444444446</v>
      </c>
      <c r="F612" t="s">
        <v>1217</v>
      </c>
    </row>
    <row r="613" spans="1:6" x14ac:dyDescent="0.25">
      <c r="A613">
        <v>842</v>
      </c>
      <c r="B613" s="3">
        <v>45240</v>
      </c>
      <c r="C613" t="s">
        <v>33</v>
      </c>
      <c r="D613" t="s">
        <v>11</v>
      </c>
      <c r="E613" s="13">
        <v>0.56736111111111109</v>
      </c>
      <c r="F613" t="s">
        <v>1218</v>
      </c>
    </row>
    <row r="614" spans="1:6" x14ac:dyDescent="0.25">
      <c r="A614">
        <v>842</v>
      </c>
      <c r="B614" s="3">
        <v>45261</v>
      </c>
      <c r="C614" t="s">
        <v>33</v>
      </c>
      <c r="D614" t="s">
        <v>11</v>
      </c>
      <c r="E614" s="13">
        <v>0.5625</v>
      </c>
      <c r="F614" t="s">
        <v>1217</v>
      </c>
    </row>
    <row r="615" spans="1:6" x14ac:dyDescent="0.25">
      <c r="A615">
        <v>842</v>
      </c>
      <c r="B615" s="3">
        <v>45268</v>
      </c>
      <c r="C615" t="s">
        <v>33</v>
      </c>
      <c r="D615" t="s">
        <v>11</v>
      </c>
      <c r="E615" s="13">
        <v>0.57361111111111107</v>
      </c>
      <c r="F615" t="s">
        <v>1218</v>
      </c>
    </row>
    <row r="616" spans="1:6" x14ac:dyDescent="0.25">
      <c r="A616">
        <v>845</v>
      </c>
      <c r="B616" s="3">
        <v>45240</v>
      </c>
      <c r="C616" t="s">
        <v>33</v>
      </c>
      <c r="D616" t="s">
        <v>11</v>
      </c>
      <c r="E616" s="13">
        <v>0.55000000000000004</v>
      </c>
      <c r="F616" t="s">
        <v>1217</v>
      </c>
    </row>
    <row r="617" spans="1:6" x14ac:dyDescent="0.25">
      <c r="A617">
        <v>845</v>
      </c>
      <c r="B617" s="3">
        <v>45247</v>
      </c>
      <c r="C617" t="s">
        <v>33</v>
      </c>
      <c r="D617" t="s">
        <v>11</v>
      </c>
      <c r="E617" s="13">
        <v>0.5625</v>
      </c>
      <c r="F617" t="s">
        <v>1218</v>
      </c>
    </row>
    <row r="618" spans="1:6" x14ac:dyDescent="0.25">
      <c r="A618">
        <v>845</v>
      </c>
      <c r="B618" s="3">
        <v>45261</v>
      </c>
      <c r="C618" t="s">
        <v>33</v>
      </c>
      <c r="D618" t="s">
        <v>11</v>
      </c>
      <c r="E618" s="13">
        <v>0.54722222222222228</v>
      </c>
      <c r="F618" t="s">
        <v>1217</v>
      </c>
    </row>
    <row r="619" spans="1:6" x14ac:dyDescent="0.25">
      <c r="A619">
        <v>845</v>
      </c>
      <c r="B619" s="3">
        <v>45268</v>
      </c>
      <c r="C619" t="s">
        <v>33</v>
      </c>
      <c r="D619" t="s">
        <v>11</v>
      </c>
      <c r="E619" s="13">
        <v>0.5493055555555556</v>
      </c>
      <c r="F619" t="s">
        <v>1217</v>
      </c>
    </row>
    <row r="620" spans="1:6" x14ac:dyDescent="0.25">
      <c r="A620">
        <v>846</v>
      </c>
      <c r="B620" s="3">
        <v>45226</v>
      </c>
      <c r="C620" t="s">
        <v>33</v>
      </c>
      <c r="D620" t="s">
        <v>11</v>
      </c>
      <c r="E620" s="13">
        <v>0.58125000000000004</v>
      </c>
      <c r="F620" t="s">
        <v>1217</v>
      </c>
    </row>
    <row r="621" spans="1:6" x14ac:dyDescent="0.25">
      <c r="A621">
        <v>846</v>
      </c>
      <c r="B621" s="3">
        <v>45233</v>
      </c>
      <c r="C621" t="s">
        <v>33</v>
      </c>
      <c r="D621" t="s">
        <v>11</v>
      </c>
      <c r="E621" s="13">
        <v>0.55208333333333337</v>
      </c>
      <c r="F621" t="s">
        <v>1217</v>
      </c>
    </row>
    <row r="622" spans="1:6" x14ac:dyDescent="0.25">
      <c r="A622">
        <v>846</v>
      </c>
      <c r="B622" s="3">
        <v>45240</v>
      </c>
      <c r="C622" t="s">
        <v>33</v>
      </c>
      <c r="D622" t="s">
        <v>11</v>
      </c>
      <c r="E622" s="13">
        <v>0.5444444444444444</v>
      </c>
      <c r="F622" t="s">
        <v>1217</v>
      </c>
    </row>
    <row r="623" spans="1:6" x14ac:dyDescent="0.25">
      <c r="A623">
        <v>846</v>
      </c>
      <c r="B623" s="3">
        <v>45254</v>
      </c>
      <c r="C623" t="s">
        <v>33</v>
      </c>
      <c r="D623" t="s">
        <v>11</v>
      </c>
      <c r="E623" s="13">
        <v>0.54722222222222228</v>
      </c>
      <c r="F623" t="s">
        <v>1217</v>
      </c>
    </row>
    <row r="624" spans="1:6" x14ac:dyDescent="0.25">
      <c r="A624">
        <v>846</v>
      </c>
      <c r="B624" s="3">
        <v>45268</v>
      </c>
      <c r="C624" t="s">
        <v>33</v>
      </c>
      <c r="D624" t="s">
        <v>11</v>
      </c>
      <c r="E624" s="13">
        <v>0.54166666666666663</v>
      </c>
      <c r="F624" t="s">
        <v>1217</v>
      </c>
    </row>
    <row r="625" spans="1:6" x14ac:dyDescent="0.25">
      <c r="A625">
        <v>846</v>
      </c>
      <c r="B625" s="3">
        <v>45282</v>
      </c>
      <c r="C625" t="s">
        <v>33</v>
      </c>
      <c r="D625" t="s">
        <v>11</v>
      </c>
      <c r="E625" s="13">
        <v>0.54861111111111116</v>
      </c>
      <c r="F625" t="s">
        <v>1217</v>
      </c>
    </row>
    <row r="626" spans="1:6" x14ac:dyDescent="0.25">
      <c r="A626">
        <v>847</v>
      </c>
      <c r="B626" s="3">
        <v>45233</v>
      </c>
      <c r="C626" t="s">
        <v>33</v>
      </c>
      <c r="D626" t="s">
        <v>11</v>
      </c>
      <c r="E626" s="13">
        <v>0.56319444444444444</v>
      </c>
      <c r="F626" t="s">
        <v>1218</v>
      </c>
    </row>
    <row r="627" spans="1:6" x14ac:dyDescent="0.25">
      <c r="A627">
        <v>847</v>
      </c>
      <c r="B627" s="3">
        <v>45268</v>
      </c>
      <c r="C627" t="s">
        <v>33</v>
      </c>
      <c r="D627" t="s">
        <v>11</v>
      </c>
      <c r="E627" s="13">
        <v>0.55902777777777779</v>
      </c>
      <c r="F627" t="s">
        <v>1217</v>
      </c>
    </row>
    <row r="628" spans="1:6" x14ac:dyDescent="0.25">
      <c r="A628">
        <v>847</v>
      </c>
      <c r="B628" s="3">
        <v>45282</v>
      </c>
      <c r="C628" t="s">
        <v>33</v>
      </c>
      <c r="D628" t="s">
        <v>11</v>
      </c>
      <c r="E628" s="13">
        <v>0.55000000000000004</v>
      </c>
      <c r="F628" t="s">
        <v>1217</v>
      </c>
    </row>
    <row r="629" spans="1:6" x14ac:dyDescent="0.25">
      <c r="A629">
        <v>848</v>
      </c>
      <c r="B629" s="3">
        <v>45226</v>
      </c>
      <c r="C629" t="s">
        <v>33</v>
      </c>
      <c r="D629" t="s">
        <v>11</v>
      </c>
      <c r="E629" s="13">
        <v>0.5756944444444444</v>
      </c>
      <c r="F629" t="s">
        <v>1217</v>
      </c>
    </row>
    <row r="630" spans="1:6" x14ac:dyDescent="0.25">
      <c r="A630">
        <v>848</v>
      </c>
      <c r="B630" s="3">
        <v>45240</v>
      </c>
      <c r="C630" t="s">
        <v>33</v>
      </c>
      <c r="D630" t="s">
        <v>11</v>
      </c>
      <c r="E630" s="13">
        <v>0.56666666666666665</v>
      </c>
      <c r="F630" t="s">
        <v>1218</v>
      </c>
    </row>
    <row r="631" spans="1:6" x14ac:dyDescent="0.25">
      <c r="A631">
        <v>848</v>
      </c>
      <c r="B631" s="3">
        <v>45254</v>
      </c>
      <c r="C631" t="s">
        <v>33</v>
      </c>
      <c r="D631" t="s">
        <v>11</v>
      </c>
      <c r="E631" s="13">
        <v>0.56041666666666667</v>
      </c>
      <c r="F631" t="s">
        <v>1217</v>
      </c>
    </row>
    <row r="632" spans="1:6" x14ac:dyDescent="0.25">
      <c r="A632">
        <v>849</v>
      </c>
      <c r="B632" s="3">
        <v>45247</v>
      </c>
      <c r="C632" t="s">
        <v>33</v>
      </c>
      <c r="D632" t="s">
        <v>11</v>
      </c>
      <c r="E632" s="13">
        <v>0.55486111111111114</v>
      </c>
      <c r="F632" t="s">
        <v>1217</v>
      </c>
    </row>
    <row r="633" spans="1:6" x14ac:dyDescent="0.25">
      <c r="A633">
        <v>849</v>
      </c>
      <c r="B633" s="3">
        <v>45268</v>
      </c>
      <c r="C633" t="s">
        <v>33</v>
      </c>
      <c r="D633" t="s">
        <v>11</v>
      </c>
      <c r="E633" s="13">
        <v>0.55625000000000002</v>
      </c>
      <c r="F633" t="s">
        <v>1217</v>
      </c>
    </row>
    <row r="634" spans="1:6" x14ac:dyDescent="0.25">
      <c r="A634">
        <v>850</v>
      </c>
      <c r="B634" s="3">
        <v>45219</v>
      </c>
      <c r="C634" t="s">
        <v>33</v>
      </c>
      <c r="D634" t="s">
        <v>11</v>
      </c>
      <c r="E634" s="13">
        <v>0.89930555555555558</v>
      </c>
      <c r="F634" t="s">
        <v>1217</v>
      </c>
    </row>
    <row r="635" spans="1:6" x14ac:dyDescent="0.25">
      <c r="A635">
        <v>850</v>
      </c>
      <c r="B635" s="3">
        <v>45226</v>
      </c>
      <c r="C635" t="s">
        <v>33</v>
      </c>
      <c r="D635" t="s">
        <v>11</v>
      </c>
      <c r="E635" s="13">
        <v>0.57986111111111116</v>
      </c>
      <c r="F635" t="s">
        <v>1217</v>
      </c>
    </row>
    <row r="636" spans="1:6" x14ac:dyDescent="0.25">
      <c r="A636">
        <v>850</v>
      </c>
      <c r="B636" s="3">
        <v>45240</v>
      </c>
      <c r="C636" t="s">
        <v>33</v>
      </c>
      <c r="D636" t="s">
        <v>11</v>
      </c>
      <c r="E636" s="13">
        <v>0.55138888888888893</v>
      </c>
      <c r="F636" t="s">
        <v>1217</v>
      </c>
    </row>
    <row r="637" spans="1:6" x14ac:dyDescent="0.25">
      <c r="A637">
        <v>850</v>
      </c>
      <c r="B637" s="3">
        <v>45268</v>
      </c>
      <c r="C637" t="s">
        <v>33</v>
      </c>
      <c r="D637" t="s">
        <v>11</v>
      </c>
      <c r="E637" s="13">
        <v>0.57499999999999996</v>
      </c>
      <c r="F637" t="s">
        <v>1218</v>
      </c>
    </row>
    <row r="638" spans="1:6" x14ac:dyDescent="0.25">
      <c r="A638">
        <v>853</v>
      </c>
      <c r="B638" s="3">
        <v>45282</v>
      </c>
      <c r="C638" t="s">
        <v>33</v>
      </c>
      <c r="D638" t="s">
        <v>11</v>
      </c>
      <c r="E638" s="13">
        <v>0.58333333333333337</v>
      </c>
      <c r="F638" t="s">
        <v>1218</v>
      </c>
    </row>
    <row r="639" spans="1:6" x14ac:dyDescent="0.25">
      <c r="A639">
        <v>855</v>
      </c>
      <c r="B639" s="3">
        <v>45226</v>
      </c>
      <c r="C639" t="s">
        <v>33</v>
      </c>
      <c r="D639" t="s">
        <v>11</v>
      </c>
      <c r="E639" s="13">
        <v>0.5756944444444444</v>
      </c>
      <c r="F639" t="s">
        <v>1217</v>
      </c>
    </row>
    <row r="640" spans="1:6" x14ac:dyDescent="0.25">
      <c r="A640">
        <v>855</v>
      </c>
      <c r="B640" s="3">
        <v>45247</v>
      </c>
      <c r="C640" t="s">
        <v>33</v>
      </c>
      <c r="D640" t="s">
        <v>11</v>
      </c>
      <c r="E640" s="13">
        <v>0.56111111111111112</v>
      </c>
      <c r="F640" t="s">
        <v>1218</v>
      </c>
    </row>
    <row r="641" spans="1:6" x14ac:dyDescent="0.25">
      <c r="A641">
        <v>855</v>
      </c>
      <c r="B641" s="3">
        <v>45261</v>
      </c>
      <c r="C641" t="s">
        <v>33</v>
      </c>
      <c r="D641" t="s">
        <v>11</v>
      </c>
      <c r="E641" s="13">
        <v>0.54791666666666672</v>
      </c>
      <c r="F641" t="s">
        <v>1218</v>
      </c>
    </row>
    <row r="642" spans="1:6" x14ac:dyDescent="0.25">
      <c r="A642">
        <v>856</v>
      </c>
      <c r="B642" s="3">
        <v>45226</v>
      </c>
      <c r="C642" t="s">
        <v>33</v>
      </c>
      <c r="D642" t="s">
        <v>11</v>
      </c>
      <c r="E642" s="13">
        <v>0.58125000000000004</v>
      </c>
      <c r="F642" t="s">
        <v>1217</v>
      </c>
    </row>
    <row r="643" spans="1:6" x14ac:dyDescent="0.25">
      <c r="A643">
        <v>856</v>
      </c>
      <c r="B643" s="3">
        <v>45240</v>
      </c>
      <c r="C643" t="s">
        <v>33</v>
      </c>
      <c r="D643" t="s">
        <v>11</v>
      </c>
      <c r="E643" s="13">
        <v>0.55763888888888891</v>
      </c>
      <c r="F643" t="s">
        <v>1217</v>
      </c>
    </row>
    <row r="644" spans="1:6" x14ac:dyDescent="0.25">
      <c r="A644">
        <v>856</v>
      </c>
      <c r="B644" s="3">
        <v>45254</v>
      </c>
      <c r="C644" t="s">
        <v>33</v>
      </c>
      <c r="D644" t="s">
        <v>11</v>
      </c>
      <c r="E644" s="13">
        <v>0.55694444444444446</v>
      </c>
      <c r="F644" t="s">
        <v>1217</v>
      </c>
    </row>
    <row r="645" spans="1:6" x14ac:dyDescent="0.25">
      <c r="A645">
        <v>856</v>
      </c>
      <c r="B645" s="3">
        <v>45261</v>
      </c>
      <c r="C645" t="s">
        <v>33</v>
      </c>
      <c r="D645" t="s">
        <v>11</v>
      </c>
      <c r="E645" s="13">
        <v>0.55902777777777779</v>
      </c>
      <c r="F645" t="s">
        <v>1217</v>
      </c>
    </row>
    <row r="646" spans="1:6" x14ac:dyDescent="0.25">
      <c r="A646">
        <v>856</v>
      </c>
      <c r="B646" s="3">
        <v>45268</v>
      </c>
      <c r="C646" t="s">
        <v>33</v>
      </c>
      <c r="D646" t="s">
        <v>11</v>
      </c>
      <c r="E646" s="13">
        <v>0.56319444444444444</v>
      </c>
      <c r="F646" t="s">
        <v>1218</v>
      </c>
    </row>
    <row r="647" spans="1:6" x14ac:dyDescent="0.25">
      <c r="A647">
        <v>856</v>
      </c>
      <c r="B647" s="3">
        <v>45275</v>
      </c>
      <c r="C647" t="s">
        <v>33</v>
      </c>
      <c r="D647" t="s">
        <v>11</v>
      </c>
      <c r="E647" s="13">
        <v>0.56111111111111112</v>
      </c>
      <c r="F647" t="s">
        <v>1217</v>
      </c>
    </row>
    <row r="648" spans="1:6" x14ac:dyDescent="0.25">
      <c r="A648">
        <v>856</v>
      </c>
      <c r="B648" s="3">
        <v>45282</v>
      </c>
      <c r="C648" t="s">
        <v>33</v>
      </c>
      <c r="D648" t="s">
        <v>11</v>
      </c>
      <c r="E648" s="13">
        <v>0.55208333333333337</v>
      </c>
      <c r="F648" t="s">
        <v>1217</v>
      </c>
    </row>
    <row r="649" spans="1:6" x14ac:dyDescent="0.25">
      <c r="A649">
        <v>862</v>
      </c>
      <c r="B649" s="3">
        <v>45219</v>
      </c>
      <c r="C649" t="s">
        <v>33</v>
      </c>
      <c r="D649" t="s">
        <v>11</v>
      </c>
      <c r="E649" s="13">
        <v>0.89930555555555558</v>
      </c>
      <c r="F649" t="s">
        <v>1217</v>
      </c>
    </row>
    <row r="650" spans="1:6" x14ac:dyDescent="0.25">
      <c r="A650">
        <v>862</v>
      </c>
      <c r="B650" s="3">
        <v>45226</v>
      </c>
      <c r="C650" t="s">
        <v>33</v>
      </c>
      <c r="D650" t="s">
        <v>11</v>
      </c>
      <c r="E650" s="13">
        <v>0.57847222222222228</v>
      </c>
      <c r="F650" t="s">
        <v>1217</v>
      </c>
    </row>
    <row r="651" spans="1:6" x14ac:dyDescent="0.25">
      <c r="A651">
        <v>862</v>
      </c>
      <c r="B651" s="3">
        <v>45233</v>
      </c>
      <c r="C651" t="s">
        <v>33</v>
      </c>
      <c r="D651" t="s">
        <v>11</v>
      </c>
      <c r="E651" s="13">
        <v>0.56458333333333333</v>
      </c>
      <c r="F651" t="s">
        <v>1218</v>
      </c>
    </row>
    <row r="652" spans="1:6" x14ac:dyDescent="0.25">
      <c r="A652">
        <v>862</v>
      </c>
      <c r="B652" s="3">
        <v>45254</v>
      </c>
      <c r="C652" t="s">
        <v>33</v>
      </c>
      <c r="D652" t="s">
        <v>11</v>
      </c>
      <c r="E652" s="13">
        <v>0.58402777777777781</v>
      </c>
      <c r="F652" t="s">
        <v>1218</v>
      </c>
    </row>
    <row r="653" spans="1:6" x14ac:dyDescent="0.25">
      <c r="A653">
        <v>865</v>
      </c>
      <c r="B653" s="3">
        <v>45226</v>
      </c>
      <c r="C653" t="s">
        <v>33</v>
      </c>
      <c r="D653" t="s">
        <v>11</v>
      </c>
      <c r="E653" s="13">
        <v>0.58125000000000004</v>
      </c>
      <c r="F653" t="s">
        <v>1217</v>
      </c>
    </row>
    <row r="654" spans="1:6" x14ac:dyDescent="0.25">
      <c r="A654">
        <v>865</v>
      </c>
      <c r="B654" s="3">
        <v>45240</v>
      </c>
      <c r="C654" t="s">
        <v>33</v>
      </c>
      <c r="D654" t="s">
        <v>11</v>
      </c>
      <c r="E654" s="13">
        <v>0.55833333333333335</v>
      </c>
      <c r="F654" t="s">
        <v>1217</v>
      </c>
    </row>
    <row r="655" spans="1:6" x14ac:dyDescent="0.25">
      <c r="A655">
        <v>865</v>
      </c>
      <c r="B655" s="3">
        <v>45247</v>
      </c>
      <c r="C655" t="s">
        <v>33</v>
      </c>
      <c r="D655" t="s">
        <v>11</v>
      </c>
      <c r="E655" s="13">
        <v>0.56319444444444444</v>
      </c>
      <c r="F655" t="s">
        <v>1218</v>
      </c>
    </row>
    <row r="656" spans="1:6" x14ac:dyDescent="0.25">
      <c r="A656">
        <v>865</v>
      </c>
      <c r="B656" s="3">
        <v>45254</v>
      </c>
      <c r="C656" t="s">
        <v>33</v>
      </c>
      <c r="D656" t="s">
        <v>11</v>
      </c>
      <c r="E656" s="13">
        <v>0.55694444444444446</v>
      </c>
      <c r="F656" t="s">
        <v>1217</v>
      </c>
    </row>
    <row r="657" spans="1:6" x14ac:dyDescent="0.25">
      <c r="A657">
        <v>866</v>
      </c>
      <c r="B657" s="3">
        <v>45226</v>
      </c>
      <c r="C657" t="s">
        <v>33</v>
      </c>
      <c r="D657" t="s">
        <v>11</v>
      </c>
      <c r="E657" s="13">
        <v>0.59513888888888888</v>
      </c>
      <c r="F657" t="s">
        <v>1217</v>
      </c>
    </row>
    <row r="658" spans="1:6" x14ac:dyDescent="0.25">
      <c r="A658">
        <v>866</v>
      </c>
      <c r="B658" s="3">
        <v>45233</v>
      </c>
      <c r="C658" t="s">
        <v>33</v>
      </c>
      <c r="D658" t="s">
        <v>11</v>
      </c>
      <c r="E658" s="13">
        <v>0.54652777777777772</v>
      </c>
      <c r="F658" t="s">
        <v>1217</v>
      </c>
    </row>
    <row r="659" spans="1:6" x14ac:dyDescent="0.25">
      <c r="A659">
        <v>866</v>
      </c>
      <c r="B659" s="3">
        <v>45240</v>
      </c>
      <c r="C659" t="s">
        <v>33</v>
      </c>
      <c r="D659" t="s">
        <v>11</v>
      </c>
      <c r="E659" s="13">
        <v>0.56736111111111109</v>
      </c>
      <c r="F659" t="s">
        <v>1218</v>
      </c>
    </row>
    <row r="660" spans="1:6" x14ac:dyDescent="0.25">
      <c r="A660">
        <v>866</v>
      </c>
      <c r="B660" s="3">
        <v>45261</v>
      </c>
      <c r="C660" t="s">
        <v>33</v>
      </c>
      <c r="D660" t="s">
        <v>11</v>
      </c>
      <c r="E660" s="13">
        <v>0.55208333333333337</v>
      </c>
      <c r="F660" t="s">
        <v>1217</v>
      </c>
    </row>
    <row r="661" spans="1:6" x14ac:dyDescent="0.25">
      <c r="A661">
        <v>867</v>
      </c>
      <c r="B661" s="3">
        <v>45233</v>
      </c>
      <c r="C661" t="s">
        <v>33</v>
      </c>
      <c r="D661" t="s">
        <v>11</v>
      </c>
      <c r="E661" s="13">
        <v>0.5708333333333333</v>
      </c>
      <c r="F661" t="s">
        <v>1218</v>
      </c>
    </row>
    <row r="662" spans="1:6" x14ac:dyDescent="0.25">
      <c r="A662">
        <v>867</v>
      </c>
      <c r="B662" s="3">
        <v>45240</v>
      </c>
      <c r="C662" t="s">
        <v>33</v>
      </c>
      <c r="D662" t="s">
        <v>11</v>
      </c>
      <c r="E662" s="13">
        <v>0.57430555555555551</v>
      </c>
      <c r="F662" t="s">
        <v>1218</v>
      </c>
    </row>
    <row r="663" spans="1:6" x14ac:dyDescent="0.25">
      <c r="A663">
        <v>867</v>
      </c>
      <c r="B663" s="3">
        <v>45254</v>
      </c>
      <c r="C663" t="s">
        <v>33</v>
      </c>
      <c r="D663" t="s">
        <v>11</v>
      </c>
      <c r="E663" s="13">
        <v>0.55555555555555558</v>
      </c>
      <c r="F663" t="s">
        <v>1217</v>
      </c>
    </row>
    <row r="664" spans="1:6" x14ac:dyDescent="0.25">
      <c r="A664">
        <v>867</v>
      </c>
      <c r="B664" s="3">
        <v>45261</v>
      </c>
      <c r="C664" t="s">
        <v>33</v>
      </c>
      <c r="D664" t="s">
        <v>11</v>
      </c>
      <c r="E664" s="13">
        <v>0.5805555555555556</v>
      </c>
      <c r="F664" t="s">
        <v>1218</v>
      </c>
    </row>
    <row r="665" spans="1:6" x14ac:dyDescent="0.25">
      <c r="A665">
        <v>867</v>
      </c>
      <c r="B665" s="3">
        <v>45268</v>
      </c>
      <c r="C665" t="s">
        <v>33</v>
      </c>
      <c r="D665" t="s">
        <v>11</v>
      </c>
      <c r="E665" s="13">
        <v>0.60972222222222228</v>
      </c>
      <c r="F665" t="s">
        <v>1218</v>
      </c>
    </row>
    <row r="666" spans="1:6" x14ac:dyDescent="0.25">
      <c r="A666">
        <v>868</v>
      </c>
      <c r="B666" s="3">
        <v>45233</v>
      </c>
      <c r="C666" t="s">
        <v>33</v>
      </c>
      <c r="D666" t="s">
        <v>11</v>
      </c>
      <c r="E666" s="13">
        <v>0.54583333333333328</v>
      </c>
      <c r="F666" t="s">
        <v>1217</v>
      </c>
    </row>
    <row r="667" spans="1:6" x14ac:dyDescent="0.25">
      <c r="A667">
        <v>868</v>
      </c>
      <c r="B667" s="3">
        <v>45254</v>
      </c>
      <c r="C667" t="s">
        <v>33</v>
      </c>
      <c r="D667" t="s">
        <v>11</v>
      </c>
      <c r="E667" s="13">
        <v>0.55277777777777781</v>
      </c>
      <c r="F667" t="s">
        <v>1217</v>
      </c>
    </row>
    <row r="668" spans="1:6" x14ac:dyDescent="0.25">
      <c r="A668">
        <v>868</v>
      </c>
      <c r="B668" s="3">
        <v>45268</v>
      </c>
      <c r="C668" t="s">
        <v>33</v>
      </c>
      <c r="D668" t="s">
        <v>11</v>
      </c>
      <c r="E668" s="13">
        <v>0.54027777777777775</v>
      </c>
      <c r="F668" t="s">
        <v>1217</v>
      </c>
    </row>
    <row r="669" spans="1:6" x14ac:dyDescent="0.25">
      <c r="A669">
        <v>868</v>
      </c>
      <c r="B669" s="3">
        <v>45282</v>
      </c>
      <c r="C669" t="s">
        <v>33</v>
      </c>
      <c r="D669" t="s">
        <v>11</v>
      </c>
      <c r="E669" s="13">
        <v>0.5625</v>
      </c>
      <c r="F669" t="s">
        <v>1217</v>
      </c>
    </row>
    <row r="670" spans="1:6" x14ac:dyDescent="0.25">
      <c r="A670">
        <v>869</v>
      </c>
      <c r="B670" s="3">
        <v>45226</v>
      </c>
      <c r="C670" t="s">
        <v>33</v>
      </c>
      <c r="D670" t="s">
        <v>11</v>
      </c>
      <c r="E670" s="13">
        <v>0.61458333333333337</v>
      </c>
      <c r="F670" t="s">
        <v>1217</v>
      </c>
    </row>
    <row r="671" spans="1:6" x14ac:dyDescent="0.25">
      <c r="A671">
        <v>869</v>
      </c>
      <c r="B671" s="3">
        <v>45233</v>
      </c>
      <c r="C671" t="s">
        <v>33</v>
      </c>
      <c r="D671" t="s">
        <v>11</v>
      </c>
      <c r="E671" s="13">
        <v>0.56597222222222221</v>
      </c>
      <c r="F671" t="s">
        <v>1218</v>
      </c>
    </row>
    <row r="672" spans="1:6" x14ac:dyDescent="0.25">
      <c r="A672">
        <v>869</v>
      </c>
      <c r="B672" s="3">
        <v>45254</v>
      </c>
      <c r="C672" t="s">
        <v>33</v>
      </c>
      <c r="D672" t="s">
        <v>11</v>
      </c>
      <c r="E672" s="13">
        <v>0.58402777777777781</v>
      </c>
      <c r="F672" t="s">
        <v>1218</v>
      </c>
    </row>
    <row r="673" spans="1:6" x14ac:dyDescent="0.25">
      <c r="A673">
        <v>869</v>
      </c>
      <c r="B673" s="3">
        <v>45261</v>
      </c>
      <c r="C673" t="s">
        <v>33</v>
      </c>
      <c r="D673" t="s">
        <v>11</v>
      </c>
      <c r="E673" s="13">
        <v>0.58680555555555558</v>
      </c>
      <c r="F673" t="s">
        <v>1218</v>
      </c>
    </row>
    <row r="674" spans="1:6" x14ac:dyDescent="0.25">
      <c r="A674">
        <v>869</v>
      </c>
      <c r="B674" s="3">
        <v>45268</v>
      </c>
      <c r="C674" t="s">
        <v>33</v>
      </c>
      <c r="D674" t="s">
        <v>11</v>
      </c>
      <c r="E674" s="13">
        <v>0.58125000000000004</v>
      </c>
      <c r="F674" t="s">
        <v>1218</v>
      </c>
    </row>
    <row r="675" spans="1:6" x14ac:dyDescent="0.25">
      <c r="A675">
        <v>870</v>
      </c>
      <c r="B675" s="3">
        <v>45233</v>
      </c>
      <c r="C675" t="s">
        <v>33</v>
      </c>
      <c r="D675" t="s">
        <v>11</v>
      </c>
      <c r="E675" s="13">
        <v>0.5708333333333333</v>
      </c>
      <c r="F675" t="s">
        <v>1218</v>
      </c>
    </row>
    <row r="676" spans="1:6" x14ac:dyDescent="0.25">
      <c r="A676">
        <v>870</v>
      </c>
      <c r="B676" s="3">
        <v>45240</v>
      </c>
      <c r="C676" t="s">
        <v>33</v>
      </c>
      <c r="D676" t="s">
        <v>11</v>
      </c>
      <c r="E676" s="13">
        <v>0.54583333333333328</v>
      </c>
      <c r="F676" t="s">
        <v>1217</v>
      </c>
    </row>
    <row r="677" spans="1:6" x14ac:dyDescent="0.25">
      <c r="A677">
        <v>870</v>
      </c>
      <c r="B677" s="3">
        <v>45254</v>
      </c>
      <c r="C677" t="s">
        <v>33</v>
      </c>
      <c r="D677" t="s">
        <v>11</v>
      </c>
      <c r="E677" s="13">
        <v>0.57361111111111107</v>
      </c>
      <c r="F677" t="s">
        <v>1218</v>
      </c>
    </row>
    <row r="678" spans="1:6" x14ac:dyDescent="0.25">
      <c r="A678">
        <v>870</v>
      </c>
      <c r="B678" s="3">
        <v>45261</v>
      </c>
      <c r="C678" t="s">
        <v>33</v>
      </c>
      <c r="D678" t="s">
        <v>11</v>
      </c>
      <c r="E678" s="13">
        <v>0.55555555555555558</v>
      </c>
      <c r="F678" t="s">
        <v>1217</v>
      </c>
    </row>
    <row r="679" spans="1:6" x14ac:dyDescent="0.25">
      <c r="A679">
        <v>871</v>
      </c>
      <c r="B679" s="3">
        <v>45233</v>
      </c>
      <c r="C679" t="s">
        <v>33</v>
      </c>
      <c r="D679" t="s">
        <v>11</v>
      </c>
      <c r="E679" s="13">
        <v>0.61041666666666672</v>
      </c>
      <c r="F679" t="s">
        <v>1218</v>
      </c>
    </row>
    <row r="680" spans="1:6" x14ac:dyDescent="0.25">
      <c r="A680">
        <v>871</v>
      </c>
      <c r="B680" s="3">
        <v>45254</v>
      </c>
      <c r="C680" t="s">
        <v>33</v>
      </c>
      <c r="D680" t="s">
        <v>11</v>
      </c>
      <c r="E680" s="13">
        <v>0.57361111111111107</v>
      </c>
      <c r="F680" t="s">
        <v>1218</v>
      </c>
    </row>
    <row r="681" spans="1:6" x14ac:dyDescent="0.25">
      <c r="A681">
        <v>872</v>
      </c>
      <c r="B681" s="3">
        <v>45254</v>
      </c>
      <c r="C681" t="s">
        <v>33</v>
      </c>
      <c r="D681" t="s">
        <v>11</v>
      </c>
      <c r="E681" s="13">
        <v>0.56458333333333333</v>
      </c>
      <c r="F681" t="s">
        <v>1218</v>
      </c>
    </row>
    <row r="682" spans="1:6" x14ac:dyDescent="0.25">
      <c r="A682">
        <v>873</v>
      </c>
      <c r="B682" s="3">
        <v>45219</v>
      </c>
      <c r="C682" t="s">
        <v>33</v>
      </c>
      <c r="D682" t="s">
        <v>11</v>
      </c>
      <c r="E682" s="13">
        <v>0.89861111111111114</v>
      </c>
      <c r="F682" t="s">
        <v>1217</v>
      </c>
    </row>
    <row r="683" spans="1:6" x14ac:dyDescent="0.25">
      <c r="A683">
        <v>873</v>
      </c>
      <c r="B683" s="3">
        <v>45226</v>
      </c>
      <c r="C683" t="s">
        <v>33</v>
      </c>
      <c r="D683" t="s">
        <v>11</v>
      </c>
      <c r="E683" s="13">
        <v>0.57847222222222228</v>
      </c>
      <c r="F683" t="s">
        <v>1217</v>
      </c>
    </row>
    <row r="684" spans="1:6" x14ac:dyDescent="0.25">
      <c r="A684">
        <v>873</v>
      </c>
      <c r="B684" s="3">
        <v>45240</v>
      </c>
      <c r="C684" t="s">
        <v>33</v>
      </c>
      <c r="D684" t="s">
        <v>11</v>
      </c>
      <c r="E684" s="13">
        <v>0.57361111111111107</v>
      </c>
      <c r="F684" t="s">
        <v>1218</v>
      </c>
    </row>
    <row r="685" spans="1:6" x14ac:dyDescent="0.25">
      <c r="A685">
        <v>873</v>
      </c>
      <c r="B685" s="3">
        <v>45268</v>
      </c>
      <c r="C685" t="s">
        <v>33</v>
      </c>
      <c r="D685" t="s">
        <v>11</v>
      </c>
      <c r="E685" s="13">
        <v>0.54027777777777775</v>
      </c>
      <c r="F685" t="s">
        <v>1217</v>
      </c>
    </row>
    <row r="686" spans="1:6" x14ac:dyDescent="0.25">
      <c r="A686">
        <v>874</v>
      </c>
      <c r="B686" s="3">
        <v>45240</v>
      </c>
      <c r="C686" t="s">
        <v>33</v>
      </c>
      <c r="D686" t="s">
        <v>11</v>
      </c>
      <c r="E686" s="13">
        <v>0.57361111111111107</v>
      </c>
      <c r="F686" t="s">
        <v>1218</v>
      </c>
    </row>
    <row r="687" spans="1:6" x14ac:dyDescent="0.25">
      <c r="A687">
        <v>874</v>
      </c>
      <c r="B687" s="3">
        <v>45254</v>
      </c>
      <c r="C687" t="s">
        <v>33</v>
      </c>
      <c r="D687" t="s">
        <v>11</v>
      </c>
      <c r="E687" s="13">
        <v>0.55694444444444446</v>
      </c>
      <c r="F687" t="s">
        <v>1217</v>
      </c>
    </row>
    <row r="688" spans="1:6" x14ac:dyDescent="0.25">
      <c r="A688">
        <v>874</v>
      </c>
      <c r="B688" s="3">
        <v>45275</v>
      </c>
      <c r="C688" t="s">
        <v>33</v>
      </c>
      <c r="D688" t="s">
        <v>11</v>
      </c>
      <c r="E688" s="13">
        <v>0.56111111111111112</v>
      </c>
      <c r="F688" t="s">
        <v>1217</v>
      </c>
    </row>
    <row r="689" spans="1:6" x14ac:dyDescent="0.25">
      <c r="A689">
        <v>875</v>
      </c>
      <c r="B689" s="3">
        <v>45226</v>
      </c>
      <c r="C689" t="s">
        <v>33</v>
      </c>
      <c r="D689" t="s">
        <v>11</v>
      </c>
      <c r="E689" s="13">
        <v>0.57847222222222228</v>
      </c>
      <c r="F689" t="s">
        <v>1217</v>
      </c>
    </row>
    <row r="690" spans="1:6" x14ac:dyDescent="0.25">
      <c r="A690">
        <v>875</v>
      </c>
      <c r="B690" s="3">
        <v>45233</v>
      </c>
      <c r="C690" t="s">
        <v>33</v>
      </c>
      <c r="D690" t="s">
        <v>11</v>
      </c>
      <c r="E690" s="13">
        <v>0.55486111111111114</v>
      </c>
      <c r="F690" t="s">
        <v>1217</v>
      </c>
    </row>
    <row r="691" spans="1:6" x14ac:dyDescent="0.25">
      <c r="A691">
        <v>876</v>
      </c>
      <c r="B691" s="3">
        <v>45219</v>
      </c>
      <c r="C691" t="s">
        <v>33</v>
      </c>
      <c r="D691" t="s">
        <v>11</v>
      </c>
      <c r="E691" s="13">
        <v>0.89861111111111114</v>
      </c>
      <c r="F691" t="s">
        <v>1217</v>
      </c>
    </row>
    <row r="692" spans="1:6" x14ac:dyDescent="0.25">
      <c r="A692">
        <v>876</v>
      </c>
      <c r="B692" s="3">
        <v>45226</v>
      </c>
      <c r="C692" t="s">
        <v>33</v>
      </c>
      <c r="D692" t="s">
        <v>11</v>
      </c>
      <c r="E692" s="13">
        <v>0.58611111111111114</v>
      </c>
      <c r="F692" t="s">
        <v>1217</v>
      </c>
    </row>
    <row r="693" spans="1:6" x14ac:dyDescent="0.25">
      <c r="A693">
        <v>876</v>
      </c>
      <c r="B693" s="3">
        <v>45254</v>
      </c>
      <c r="C693" t="s">
        <v>33</v>
      </c>
      <c r="D693" t="s">
        <v>11</v>
      </c>
      <c r="E693" s="13">
        <v>0.54722222222222228</v>
      </c>
      <c r="F693" t="s">
        <v>1218</v>
      </c>
    </row>
    <row r="694" spans="1:6" x14ac:dyDescent="0.25">
      <c r="A694">
        <v>876</v>
      </c>
      <c r="B694" s="3">
        <v>45261</v>
      </c>
      <c r="C694" t="s">
        <v>33</v>
      </c>
      <c r="D694" t="s">
        <v>11</v>
      </c>
      <c r="E694" s="13">
        <v>0.55763888888888891</v>
      </c>
      <c r="F694" t="s">
        <v>1218</v>
      </c>
    </row>
    <row r="695" spans="1:6" x14ac:dyDescent="0.25">
      <c r="A695">
        <v>878</v>
      </c>
      <c r="B695" s="3">
        <v>45219</v>
      </c>
      <c r="C695" t="s">
        <v>33</v>
      </c>
      <c r="D695" t="s">
        <v>11</v>
      </c>
      <c r="E695" s="13">
        <v>0.89930555555555558</v>
      </c>
      <c r="F695" t="s">
        <v>1217</v>
      </c>
    </row>
    <row r="696" spans="1:6" x14ac:dyDescent="0.25">
      <c r="A696">
        <v>878</v>
      </c>
      <c r="B696" s="3">
        <v>45226</v>
      </c>
      <c r="C696" t="s">
        <v>33</v>
      </c>
      <c r="D696" t="s">
        <v>11</v>
      </c>
      <c r="E696" s="13">
        <v>0.57916666666666672</v>
      </c>
      <c r="F696" t="s">
        <v>1217</v>
      </c>
    </row>
    <row r="697" spans="1:6" x14ac:dyDescent="0.25">
      <c r="A697">
        <v>878</v>
      </c>
      <c r="B697" s="3">
        <v>45233</v>
      </c>
      <c r="C697" t="s">
        <v>33</v>
      </c>
      <c r="D697" t="s">
        <v>11</v>
      </c>
      <c r="E697" s="13">
        <v>0.52708333333333335</v>
      </c>
      <c r="F697" t="s">
        <v>1217</v>
      </c>
    </row>
    <row r="698" spans="1:6" x14ac:dyDescent="0.25">
      <c r="A698">
        <v>878</v>
      </c>
      <c r="B698" s="3">
        <v>45240</v>
      </c>
      <c r="C698" t="s">
        <v>33</v>
      </c>
      <c r="D698" t="s">
        <v>11</v>
      </c>
      <c r="E698" s="13">
        <v>0.55277777777777781</v>
      </c>
      <c r="F698" t="s">
        <v>1217</v>
      </c>
    </row>
    <row r="699" spans="1:6" x14ac:dyDescent="0.25">
      <c r="A699">
        <v>879</v>
      </c>
      <c r="B699" s="3">
        <v>45226</v>
      </c>
      <c r="C699" t="s">
        <v>33</v>
      </c>
      <c r="D699" t="s">
        <v>11</v>
      </c>
      <c r="E699" s="13">
        <v>0.57916666666666672</v>
      </c>
      <c r="F699" t="s">
        <v>1217</v>
      </c>
    </row>
    <row r="700" spans="1:6" x14ac:dyDescent="0.25">
      <c r="A700">
        <v>879</v>
      </c>
      <c r="B700" s="3">
        <v>45233</v>
      </c>
      <c r="C700" t="s">
        <v>33</v>
      </c>
      <c r="D700" t="s">
        <v>11</v>
      </c>
      <c r="E700" s="13">
        <v>0.56666666666666665</v>
      </c>
      <c r="F700" t="s">
        <v>1218</v>
      </c>
    </row>
    <row r="701" spans="1:6" x14ac:dyDescent="0.25">
      <c r="A701">
        <v>879</v>
      </c>
      <c r="B701" s="3">
        <v>45240</v>
      </c>
      <c r="C701" t="s">
        <v>33</v>
      </c>
      <c r="D701" t="s">
        <v>11</v>
      </c>
      <c r="E701" s="13">
        <v>0.57847222222222228</v>
      </c>
      <c r="F701" t="s">
        <v>1218</v>
      </c>
    </row>
    <row r="702" spans="1:6" x14ac:dyDescent="0.25">
      <c r="A702">
        <v>879</v>
      </c>
      <c r="B702" s="3">
        <v>45261</v>
      </c>
      <c r="C702" t="s">
        <v>33</v>
      </c>
      <c r="D702" t="s">
        <v>11</v>
      </c>
      <c r="E702" s="13">
        <v>0.54097222222222219</v>
      </c>
      <c r="F702" t="s">
        <v>1217</v>
      </c>
    </row>
    <row r="703" spans="1:6" x14ac:dyDescent="0.25">
      <c r="A703">
        <v>879</v>
      </c>
      <c r="B703" s="3">
        <v>45268</v>
      </c>
      <c r="C703" t="s">
        <v>33</v>
      </c>
      <c r="D703" t="s">
        <v>11</v>
      </c>
      <c r="E703" s="13">
        <v>0.60902777777777772</v>
      </c>
      <c r="F703" t="s">
        <v>1218</v>
      </c>
    </row>
    <row r="704" spans="1:6" x14ac:dyDescent="0.25">
      <c r="A704">
        <v>880</v>
      </c>
      <c r="B704" s="3">
        <v>45226</v>
      </c>
      <c r="C704" t="s">
        <v>33</v>
      </c>
      <c r="D704" t="s">
        <v>11</v>
      </c>
      <c r="E704" s="13">
        <v>0.58194444444444449</v>
      </c>
      <c r="F704" t="s">
        <v>1217</v>
      </c>
    </row>
    <row r="705" spans="1:6" x14ac:dyDescent="0.25">
      <c r="A705">
        <v>881</v>
      </c>
      <c r="B705" s="3">
        <v>45226</v>
      </c>
      <c r="C705" t="s">
        <v>33</v>
      </c>
      <c r="D705" t="s">
        <v>11</v>
      </c>
      <c r="E705" s="13">
        <v>0.58194444444444449</v>
      </c>
      <c r="F705" t="s">
        <v>1217</v>
      </c>
    </row>
    <row r="706" spans="1:6" x14ac:dyDescent="0.25">
      <c r="A706">
        <v>881</v>
      </c>
      <c r="B706" s="3">
        <v>45254</v>
      </c>
      <c r="C706" t="s">
        <v>33</v>
      </c>
      <c r="D706" t="s">
        <v>11</v>
      </c>
      <c r="E706" s="13">
        <v>0.56111111111111112</v>
      </c>
      <c r="F706" t="s">
        <v>1217</v>
      </c>
    </row>
    <row r="707" spans="1:6" x14ac:dyDescent="0.25">
      <c r="A707">
        <v>882</v>
      </c>
      <c r="B707" s="3">
        <v>45226</v>
      </c>
      <c r="C707" t="s">
        <v>33</v>
      </c>
      <c r="D707" t="s">
        <v>11</v>
      </c>
      <c r="E707" s="13">
        <v>0.58680555555555558</v>
      </c>
      <c r="F707" t="s">
        <v>1217</v>
      </c>
    </row>
    <row r="708" spans="1:6" x14ac:dyDescent="0.25">
      <c r="A708">
        <v>883</v>
      </c>
      <c r="B708" s="3">
        <v>45240</v>
      </c>
      <c r="C708" t="s">
        <v>33</v>
      </c>
      <c r="D708" t="s">
        <v>11</v>
      </c>
      <c r="E708" s="13">
        <v>0.55208333333333337</v>
      </c>
      <c r="F708" t="s">
        <v>1217</v>
      </c>
    </row>
    <row r="709" spans="1:6" x14ac:dyDescent="0.25">
      <c r="A709">
        <v>883</v>
      </c>
      <c r="B709" s="3">
        <v>45254</v>
      </c>
      <c r="C709" t="s">
        <v>33</v>
      </c>
      <c r="D709" t="s">
        <v>11</v>
      </c>
      <c r="E709" s="13">
        <v>0.54027777777777775</v>
      </c>
      <c r="F709" t="s">
        <v>1217</v>
      </c>
    </row>
    <row r="710" spans="1:6" x14ac:dyDescent="0.25">
      <c r="A710">
        <v>883</v>
      </c>
      <c r="B710" s="3">
        <v>45261</v>
      </c>
      <c r="C710" t="s">
        <v>33</v>
      </c>
      <c r="D710" t="s">
        <v>11</v>
      </c>
      <c r="E710" s="13">
        <v>0.57430555555555551</v>
      </c>
      <c r="F710" t="s">
        <v>1218</v>
      </c>
    </row>
    <row r="711" spans="1:6" x14ac:dyDescent="0.25">
      <c r="A711">
        <v>883</v>
      </c>
      <c r="B711" s="3">
        <v>45282</v>
      </c>
      <c r="C711" t="s">
        <v>33</v>
      </c>
      <c r="D711" t="s">
        <v>11</v>
      </c>
      <c r="E711" s="13">
        <v>0.54861111111111116</v>
      </c>
      <c r="F711" t="s">
        <v>1217</v>
      </c>
    </row>
    <row r="712" spans="1:6" x14ac:dyDescent="0.25">
      <c r="A712">
        <v>888</v>
      </c>
      <c r="B712" s="3">
        <v>45254</v>
      </c>
      <c r="C712" t="s">
        <v>33</v>
      </c>
      <c r="D712" t="s">
        <v>11</v>
      </c>
      <c r="E712" s="13">
        <v>0.14097222222222222</v>
      </c>
      <c r="F712" t="s">
        <v>1217</v>
      </c>
    </row>
    <row r="713" spans="1:6" x14ac:dyDescent="0.25">
      <c r="A713">
        <v>888</v>
      </c>
      <c r="B713" s="3">
        <v>45261</v>
      </c>
      <c r="C713" t="s">
        <v>33</v>
      </c>
      <c r="D713" t="s">
        <v>11</v>
      </c>
      <c r="E713" s="13">
        <v>0.55763888888888891</v>
      </c>
      <c r="F713" t="s">
        <v>1217</v>
      </c>
    </row>
    <row r="714" spans="1:6" x14ac:dyDescent="0.25">
      <c r="A714">
        <v>888</v>
      </c>
      <c r="B714" s="3">
        <v>45268</v>
      </c>
      <c r="C714" t="s">
        <v>33</v>
      </c>
      <c r="D714" t="s">
        <v>11</v>
      </c>
      <c r="E714" s="13">
        <v>0.55902777777777779</v>
      </c>
      <c r="F714" t="s">
        <v>1217</v>
      </c>
    </row>
    <row r="715" spans="1:6" x14ac:dyDescent="0.25">
      <c r="A715">
        <v>889</v>
      </c>
      <c r="B715" s="3">
        <v>45261</v>
      </c>
      <c r="C715" t="s">
        <v>33</v>
      </c>
      <c r="D715" t="s">
        <v>11</v>
      </c>
      <c r="E715" s="13">
        <v>0.53888888888888886</v>
      </c>
      <c r="F715" t="s">
        <v>1217</v>
      </c>
    </row>
    <row r="716" spans="1:6" x14ac:dyDescent="0.25">
      <c r="A716">
        <v>889</v>
      </c>
      <c r="B716" s="3">
        <v>45282</v>
      </c>
      <c r="C716" t="s">
        <v>33</v>
      </c>
      <c r="D716" t="s">
        <v>11</v>
      </c>
      <c r="E716" s="13">
        <v>0.54583333333333328</v>
      </c>
      <c r="F716" t="s">
        <v>1217</v>
      </c>
    </row>
    <row r="717" spans="1:6" x14ac:dyDescent="0.25">
      <c r="A717">
        <v>890</v>
      </c>
      <c r="B717" s="3">
        <v>45254</v>
      </c>
      <c r="C717" t="s">
        <v>33</v>
      </c>
      <c r="D717" t="s">
        <v>11</v>
      </c>
      <c r="E717" s="13">
        <v>0.14374999999999999</v>
      </c>
      <c r="F717" t="s">
        <v>1217</v>
      </c>
    </row>
    <row r="718" spans="1:6" x14ac:dyDescent="0.25">
      <c r="A718">
        <v>891</v>
      </c>
      <c r="B718" s="3">
        <v>45254</v>
      </c>
      <c r="C718" t="s">
        <v>33</v>
      </c>
      <c r="D718" t="s">
        <v>11</v>
      </c>
      <c r="E718" s="13">
        <v>0.56111111111111112</v>
      </c>
      <c r="F718" t="s">
        <v>1217</v>
      </c>
    </row>
    <row r="719" spans="1:6" x14ac:dyDescent="0.25">
      <c r="A719">
        <v>891</v>
      </c>
      <c r="B719" s="3">
        <v>45268</v>
      </c>
      <c r="C719" t="s">
        <v>33</v>
      </c>
      <c r="D719" t="s">
        <v>11</v>
      </c>
      <c r="E719" s="13">
        <v>0.60972222222222228</v>
      </c>
      <c r="F719" t="s">
        <v>1218</v>
      </c>
    </row>
    <row r="720" spans="1:6" x14ac:dyDescent="0.25">
      <c r="A720">
        <v>892</v>
      </c>
      <c r="B720" s="3">
        <v>45254</v>
      </c>
      <c r="C720" t="s">
        <v>33</v>
      </c>
      <c r="D720" t="s">
        <v>11</v>
      </c>
      <c r="E720" s="13">
        <v>0.56111111111111112</v>
      </c>
      <c r="F720" t="s">
        <v>1217</v>
      </c>
    </row>
    <row r="721" spans="1:6" x14ac:dyDescent="0.25">
      <c r="A721">
        <v>893</v>
      </c>
      <c r="B721" s="3">
        <v>45254</v>
      </c>
      <c r="C721" t="s">
        <v>33</v>
      </c>
      <c r="D721" t="s">
        <v>11</v>
      </c>
      <c r="E721" s="13">
        <v>0.55902777777777779</v>
      </c>
      <c r="F721" t="s">
        <v>1217</v>
      </c>
    </row>
    <row r="722" spans="1:6" x14ac:dyDescent="0.25">
      <c r="A722">
        <v>894</v>
      </c>
      <c r="B722" s="3">
        <v>45254</v>
      </c>
      <c r="C722" t="s">
        <v>33</v>
      </c>
      <c r="D722" t="s">
        <v>11</v>
      </c>
      <c r="E722" s="13">
        <v>0.14722222222222223</v>
      </c>
      <c r="F722" t="s">
        <v>1217</v>
      </c>
    </row>
    <row r="723" spans="1:6" x14ac:dyDescent="0.25">
      <c r="A723">
        <v>900</v>
      </c>
      <c r="B723" s="3">
        <v>45219</v>
      </c>
      <c r="C723" t="s">
        <v>33</v>
      </c>
      <c r="D723" t="s">
        <v>34</v>
      </c>
      <c r="E723" s="13">
        <v>7.013888888888889E-2</v>
      </c>
      <c r="F723" t="s">
        <v>1217</v>
      </c>
    </row>
    <row r="724" spans="1:6" x14ac:dyDescent="0.25">
      <c r="A724">
        <v>900</v>
      </c>
      <c r="B724" s="3">
        <v>45233</v>
      </c>
      <c r="C724" t="s">
        <v>33</v>
      </c>
      <c r="D724" t="s">
        <v>34</v>
      </c>
      <c r="E724" s="13">
        <v>7.013888888888889E-2</v>
      </c>
      <c r="F724" t="s">
        <v>1217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1656C-CB69-456A-8330-E91C99234E9F}">
  <sheetPr codeName="Sheet3">
    <tabColor theme="7" tint="0.39997558519241921"/>
  </sheetPr>
  <dimension ref="A1:M178"/>
  <sheetViews>
    <sheetView tabSelected="1" topLeftCell="A4" zoomScale="90" workbookViewId="0">
      <selection activeCell="D10" sqref="D10"/>
    </sheetView>
  </sheetViews>
  <sheetFormatPr defaultRowHeight="15" x14ac:dyDescent="0.25"/>
  <cols>
    <col min="1" max="1" width="24" bestFit="1" customWidth="1"/>
    <col min="2" max="2" width="24.85546875" style="16" bestFit="1" customWidth="1"/>
    <col min="3" max="3" width="11.7109375" bestFit="1" customWidth="1"/>
    <col min="4" max="4" width="11.42578125" bestFit="1" customWidth="1"/>
    <col min="5" max="5" width="14.28515625" bestFit="1" customWidth="1"/>
    <col min="6" max="6" width="11.42578125" bestFit="1" customWidth="1"/>
    <col min="7" max="7" width="16.85546875" bestFit="1" customWidth="1"/>
    <col min="8" max="8" width="11.42578125" bestFit="1" customWidth="1"/>
    <col min="9" max="9" width="14.28515625" bestFit="1" customWidth="1"/>
    <col min="10" max="10" width="16" bestFit="1" customWidth="1"/>
    <col min="11" max="11" width="13.5703125" bestFit="1" customWidth="1"/>
    <col min="12" max="13" width="12.5703125" bestFit="1" customWidth="1"/>
  </cols>
  <sheetData>
    <row r="1" spans="1:13" x14ac:dyDescent="0.25">
      <c r="A1" t="s">
        <v>1464</v>
      </c>
      <c r="B1" s="16" t="s">
        <v>0</v>
      </c>
      <c r="C1" t="s">
        <v>1465</v>
      </c>
      <c r="D1" t="s">
        <v>1466</v>
      </c>
      <c r="E1" t="s">
        <v>1467</v>
      </c>
      <c r="F1" t="s">
        <v>1468</v>
      </c>
      <c r="G1" t="s">
        <v>1469</v>
      </c>
      <c r="H1" t="s">
        <v>1470</v>
      </c>
      <c r="I1" t="s">
        <v>1471</v>
      </c>
      <c r="J1" t="s">
        <v>1472</v>
      </c>
      <c r="K1" t="s">
        <v>1473</v>
      </c>
      <c r="L1" t="s">
        <v>1474</v>
      </c>
      <c r="M1" t="s">
        <v>1475</v>
      </c>
    </row>
    <row r="2" spans="1:13" x14ac:dyDescent="0.25">
      <c r="A2" t="s">
        <v>1476</v>
      </c>
    </row>
    <row r="3" spans="1:13" x14ac:dyDescent="0.25">
      <c r="A3" t="s">
        <v>1477</v>
      </c>
      <c r="B3" s="16" t="s">
        <v>1782</v>
      </c>
    </row>
    <row r="4" spans="1:13" x14ac:dyDescent="0.25">
      <c r="A4" t="s">
        <v>1</v>
      </c>
      <c r="B4" s="16" t="s">
        <v>1478</v>
      </c>
      <c r="C4" t="s">
        <v>1479</v>
      </c>
      <c r="D4" t="s">
        <v>1480</v>
      </c>
      <c r="E4" t="s">
        <v>1481</v>
      </c>
      <c r="G4" t="s">
        <v>1482</v>
      </c>
      <c r="I4" t="s">
        <v>1483</v>
      </c>
      <c r="J4" t="s">
        <v>1484</v>
      </c>
      <c r="K4" t="s">
        <v>1485</v>
      </c>
      <c r="L4" t="s">
        <v>1486</v>
      </c>
      <c r="M4" t="s">
        <v>1487</v>
      </c>
    </row>
    <row r="5" spans="1:13" x14ac:dyDescent="0.25">
      <c r="E5" t="s">
        <v>1488</v>
      </c>
      <c r="F5" t="s">
        <v>1489</v>
      </c>
      <c r="G5" t="s">
        <v>1488</v>
      </c>
      <c r="H5" t="s">
        <v>1489</v>
      </c>
    </row>
    <row r="6" spans="1:13" x14ac:dyDescent="0.25">
      <c r="A6" t="s">
        <v>93</v>
      </c>
      <c r="B6" s="16" t="s">
        <v>62</v>
      </c>
      <c r="C6" t="s">
        <v>1490</v>
      </c>
      <c r="D6" t="s">
        <v>1783</v>
      </c>
      <c r="E6" t="s">
        <v>1643</v>
      </c>
      <c r="F6" t="s">
        <v>1784</v>
      </c>
      <c r="I6" t="s">
        <v>204</v>
      </c>
      <c r="J6" t="s">
        <v>362</v>
      </c>
      <c r="K6" t="s">
        <v>204</v>
      </c>
      <c r="L6" t="s">
        <v>362</v>
      </c>
    </row>
    <row r="7" spans="1:13" x14ac:dyDescent="0.25">
      <c r="A7" t="s">
        <v>1492</v>
      </c>
      <c r="B7" s="16" t="s">
        <v>1492</v>
      </c>
      <c r="C7" t="s">
        <v>1490</v>
      </c>
      <c r="D7" t="s">
        <v>1783</v>
      </c>
      <c r="I7" t="s">
        <v>204</v>
      </c>
      <c r="J7" t="s">
        <v>204</v>
      </c>
      <c r="K7" t="s">
        <v>1491</v>
      </c>
      <c r="L7" t="s">
        <v>1491</v>
      </c>
    </row>
    <row r="8" spans="1:13" x14ac:dyDescent="0.25">
      <c r="A8" t="s">
        <v>45</v>
      </c>
      <c r="B8" s="16" t="s">
        <v>429</v>
      </c>
      <c r="C8" t="s">
        <v>1490</v>
      </c>
      <c r="D8" t="s">
        <v>1783</v>
      </c>
      <c r="E8" t="s">
        <v>1785</v>
      </c>
      <c r="I8" t="s">
        <v>745</v>
      </c>
      <c r="J8" t="s">
        <v>204</v>
      </c>
      <c r="K8" t="s">
        <v>1106</v>
      </c>
      <c r="L8" t="s">
        <v>1491</v>
      </c>
    </row>
    <row r="9" spans="1:13" x14ac:dyDescent="0.25">
      <c r="A9" t="s">
        <v>62</v>
      </c>
      <c r="B9" s="16" t="s">
        <v>1495</v>
      </c>
      <c r="C9" t="s">
        <v>1490</v>
      </c>
      <c r="D9" t="s">
        <v>1783</v>
      </c>
      <c r="I9" t="s">
        <v>204</v>
      </c>
      <c r="J9" t="s">
        <v>204</v>
      </c>
      <c r="K9" t="s">
        <v>1491</v>
      </c>
      <c r="L9" t="s">
        <v>1491</v>
      </c>
    </row>
    <row r="10" spans="1:13" x14ac:dyDescent="0.25">
      <c r="A10" t="s">
        <v>72</v>
      </c>
      <c r="B10" s="16" t="s">
        <v>1496</v>
      </c>
      <c r="C10" t="s">
        <v>1490</v>
      </c>
      <c r="D10" t="s">
        <v>1783</v>
      </c>
      <c r="I10" t="s">
        <v>204</v>
      </c>
      <c r="J10" t="s">
        <v>204</v>
      </c>
      <c r="K10" t="s">
        <v>1491</v>
      </c>
      <c r="L10" t="s">
        <v>1491</v>
      </c>
    </row>
    <row r="11" spans="1:13" x14ac:dyDescent="0.25">
      <c r="A11" t="s">
        <v>46</v>
      </c>
      <c r="B11" s="16" t="s">
        <v>1497</v>
      </c>
      <c r="C11" t="s">
        <v>1490</v>
      </c>
      <c r="D11" t="s">
        <v>1783</v>
      </c>
      <c r="F11" t="s">
        <v>1652</v>
      </c>
      <c r="I11" t="s">
        <v>204</v>
      </c>
      <c r="J11" t="s">
        <v>1579</v>
      </c>
      <c r="K11" t="s">
        <v>1603</v>
      </c>
      <c r="L11" t="s">
        <v>1491</v>
      </c>
    </row>
    <row r="12" spans="1:13" x14ac:dyDescent="0.25">
      <c r="A12" t="s">
        <v>55</v>
      </c>
      <c r="B12" s="16" t="s">
        <v>1501</v>
      </c>
      <c r="C12" t="s">
        <v>1490</v>
      </c>
      <c r="D12" t="s">
        <v>1783</v>
      </c>
      <c r="F12" t="s">
        <v>1652</v>
      </c>
      <c r="I12" t="s">
        <v>204</v>
      </c>
      <c r="J12" t="s">
        <v>1579</v>
      </c>
      <c r="K12" t="s">
        <v>1603</v>
      </c>
      <c r="L12" t="s">
        <v>1491</v>
      </c>
    </row>
    <row r="13" spans="1:13" x14ac:dyDescent="0.25">
      <c r="A13" t="s">
        <v>42</v>
      </c>
      <c r="B13" s="16" t="s">
        <v>1504</v>
      </c>
      <c r="C13" t="s">
        <v>1490</v>
      </c>
      <c r="D13" t="s">
        <v>1783</v>
      </c>
      <c r="I13" t="s">
        <v>204</v>
      </c>
      <c r="J13" t="s">
        <v>204</v>
      </c>
      <c r="K13" t="s">
        <v>1491</v>
      </c>
      <c r="L13" t="s">
        <v>1491</v>
      </c>
    </row>
    <row r="14" spans="1:13" x14ac:dyDescent="0.25">
      <c r="A14" t="s">
        <v>278</v>
      </c>
      <c r="B14" s="16" t="s">
        <v>1505</v>
      </c>
      <c r="C14" t="s">
        <v>1490</v>
      </c>
      <c r="D14" t="s">
        <v>1783</v>
      </c>
      <c r="I14" t="s">
        <v>204</v>
      </c>
      <c r="J14" t="s">
        <v>204</v>
      </c>
      <c r="K14" t="s">
        <v>1491</v>
      </c>
      <c r="L14" t="s">
        <v>1491</v>
      </c>
    </row>
    <row r="15" spans="1:13" x14ac:dyDescent="0.25">
      <c r="A15" t="s">
        <v>143</v>
      </c>
      <c r="B15" s="16" t="s">
        <v>1506</v>
      </c>
      <c r="C15" t="s">
        <v>1490</v>
      </c>
      <c r="D15" t="s">
        <v>1783</v>
      </c>
      <c r="E15" t="s">
        <v>1619</v>
      </c>
      <c r="I15" t="s">
        <v>204</v>
      </c>
      <c r="J15" t="s">
        <v>204</v>
      </c>
      <c r="K15" t="s">
        <v>1491</v>
      </c>
      <c r="L15" t="s">
        <v>1491</v>
      </c>
    </row>
    <row r="16" spans="1:13" x14ac:dyDescent="0.25">
      <c r="A16" t="s">
        <v>51</v>
      </c>
      <c r="B16" s="16" t="s">
        <v>1507</v>
      </c>
      <c r="C16" t="s">
        <v>1490</v>
      </c>
      <c r="D16" t="s">
        <v>1783</v>
      </c>
      <c r="I16" t="s">
        <v>204</v>
      </c>
      <c r="J16" t="s">
        <v>204</v>
      </c>
      <c r="K16" t="s">
        <v>1491</v>
      </c>
      <c r="L16" t="s">
        <v>1491</v>
      </c>
    </row>
    <row r="17" spans="1:12" x14ac:dyDescent="0.25">
      <c r="A17" t="s">
        <v>65</v>
      </c>
      <c r="B17" s="16" t="s">
        <v>1508</v>
      </c>
      <c r="C17" t="s">
        <v>1490</v>
      </c>
      <c r="D17" t="s">
        <v>1783</v>
      </c>
      <c r="F17" t="s">
        <v>1652</v>
      </c>
      <c r="I17" t="s">
        <v>204</v>
      </c>
      <c r="J17" t="s">
        <v>1579</v>
      </c>
      <c r="K17" t="s">
        <v>1603</v>
      </c>
      <c r="L17" t="s">
        <v>1491</v>
      </c>
    </row>
    <row r="18" spans="1:12" x14ac:dyDescent="0.25">
      <c r="A18" t="s">
        <v>239</v>
      </c>
      <c r="B18" s="16" t="s">
        <v>1509</v>
      </c>
      <c r="C18" t="s">
        <v>1490</v>
      </c>
      <c r="D18" s="4" t="s">
        <v>1783</v>
      </c>
      <c r="E18" t="s">
        <v>1637</v>
      </c>
      <c r="I18" t="s">
        <v>1280</v>
      </c>
      <c r="J18" t="s">
        <v>204</v>
      </c>
      <c r="K18" t="s">
        <v>834</v>
      </c>
      <c r="L18" t="s">
        <v>1491</v>
      </c>
    </row>
    <row r="19" spans="1:12" x14ac:dyDescent="0.25">
      <c r="A19" t="s">
        <v>235</v>
      </c>
      <c r="B19" s="16" t="s">
        <v>1510</v>
      </c>
      <c r="C19" t="s">
        <v>1490</v>
      </c>
      <c r="D19" t="s">
        <v>1783</v>
      </c>
      <c r="I19" t="s">
        <v>204</v>
      </c>
      <c r="J19" t="s">
        <v>204</v>
      </c>
      <c r="K19" t="s">
        <v>1491</v>
      </c>
      <c r="L19" t="s">
        <v>1491</v>
      </c>
    </row>
    <row r="20" spans="1:12" x14ac:dyDescent="0.25">
      <c r="A20" t="s">
        <v>119</v>
      </c>
      <c r="B20" s="16" t="s">
        <v>1511</v>
      </c>
      <c r="C20" t="s">
        <v>1490</v>
      </c>
      <c r="D20" t="s">
        <v>1783</v>
      </c>
      <c r="I20" t="s">
        <v>204</v>
      </c>
      <c r="J20" t="s">
        <v>204</v>
      </c>
      <c r="K20" t="s">
        <v>1491</v>
      </c>
      <c r="L20" t="s">
        <v>1491</v>
      </c>
    </row>
    <row r="21" spans="1:12" x14ac:dyDescent="0.25">
      <c r="A21" t="s">
        <v>69</v>
      </c>
      <c r="B21" s="16" t="s">
        <v>1512</v>
      </c>
      <c r="C21" t="s">
        <v>1490</v>
      </c>
      <c r="D21" t="s">
        <v>1783</v>
      </c>
      <c r="E21" t="s">
        <v>1786</v>
      </c>
      <c r="I21" t="s">
        <v>204</v>
      </c>
      <c r="J21" t="s">
        <v>204</v>
      </c>
      <c r="K21" t="s">
        <v>1491</v>
      </c>
      <c r="L21" t="s">
        <v>1491</v>
      </c>
    </row>
    <row r="22" spans="1:12" x14ac:dyDescent="0.25">
      <c r="A22" t="s">
        <v>180</v>
      </c>
      <c r="B22" s="16" t="s">
        <v>1513</v>
      </c>
      <c r="C22" t="s">
        <v>1490</v>
      </c>
      <c r="D22" t="s">
        <v>1783</v>
      </c>
      <c r="I22" t="s">
        <v>204</v>
      </c>
      <c r="J22" t="s">
        <v>204</v>
      </c>
      <c r="K22" t="s">
        <v>1491</v>
      </c>
      <c r="L22" t="s">
        <v>1491</v>
      </c>
    </row>
    <row r="23" spans="1:12" x14ac:dyDescent="0.25">
      <c r="A23" t="s">
        <v>379</v>
      </c>
      <c r="B23" s="16" t="s">
        <v>1515</v>
      </c>
      <c r="C23" t="s">
        <v>1490</v>
      </c>
      <c r="D23" t="s">
        <v>1783</v>
      </c>
      <c r="E23" t="s">
        <v>1558</v>
      </c>
      <c r="F23" t="s">
        <v>1736</v>
      </c>
      <c r="I23" t="s">
        <v>1559</v>
      </c>
      <c r="J23" t="s">
        <v>1593</v>
      </c>
      <c r="K23" t="s">
        <v>204</v>
      </c>
      <c r="L23" t="s">
        <v>1685</v>
      </c>
    </row>
    <row r="24" spans="1:12" x14ac:dyDescent="0.25">
      <c r="A24" t="s">
        <v>251</v>
      </c>
      <c r="B24" s="16" t="s">
        <v>1518</v>
      </c>
      <c r="C24" t="s">
        <v>1490</v>
      </c>
      <c r="D24" t="s">
        <v>1783</v>
      </c>
      <c r="I24" t="s">
        <v>204</v>
      </c>
      <c r="J24" t="s">
        <v>204</v>
      </c>
      <c r="K24" t="s">
        <v>1491</v>
      </c>
      <c r="L24" t="s">
        <v>1491</v>
      </c>
    </row>
    <row r="25" spans="1:12" x14ac:dyDescent="0.25">
      <c r="A25" t="s">
        <v>210</v>
      </c>
      <c r="B25" s="16" t="s">
        <v>1520</v>
      </c>
      <c r="C25" t="s">
        <v>1490</v>
      </c>
      <c r="D25" t="s">
        <v>1783</v>
      </c>
      <c r="I25" t="s">
        <v>204</v>
      </c>
      <c r="J25" t="s">
        <v>204</v>
      </c>
      <c r="K25" t="s">
        <v>1491</v>
      </c>
      <c r="L25" t="s">
        <v>1491</v>
      </c>
    </row>
    <row r="26" spans="1:12" x14ac:dyDescent="0.25">
      <c r="A26" t="s">
        <v>552</v>
      </c>
      <c r="B26" s="16" t="s">
        <v>1521</v>
      </c>
      <c r="C26" t="s">
        <v>1490</v>
      </c>
      <c r="D26" t="s">
        <v>1783</v>
      </c>
      <c r="I26" t="s">
        <v>204</v>
      </c>
      <c r="J26" t="s">
        <v>204</v>
      </c>
      <c r="K26" t="s">
        <v>1491</v>
      </c>
      <c r="L26" t="s">
        <v>1491</v>
      </c>
    </row>
    <row r="27" spans="1:12" x14ac:dyDescent="0.25">
      <c r="A27" t="s">
        <v>83</v>
      </c>
      <c r="B27" s="16" t="s">
        <v>1522</v>
      </c>
      <c r="C27" t="s">
        <v>1490</v>
      </c>
      <c r="D27" t="s">
        <v>1783</v>
      </c>
      <c r="E27" t="s">
        <v>1787</v>
      </c>
      <c r="I27" t="s">
        <v>1313</v>
      </c>
      <c r="J27" t="s">
        <v>204</v>
      </c>
      <c r="K27" t="s">
        <v>1620</v>
      </c>
      <c r="L27" t="s">
        <v>1491</v>
      </c>
    </row>
    <row r="28" spans="1:12" x14ac:dyDescent="0.25">
      <c r="A28" t="s">
        <v>277</v>
      </c>
      <c r="B28" s="16" t="s">
        <v>1523</v>
      </c>
      <c r="C28" t="s">
        <v>1490</v>
      </c>
      <c r="D28" t="s">
        <v>1783</v>
      </c>
      <c r="E28" t="s">
        <v>1619</v>
      </c>
      <c r="I28" t="s">
        <v>204</v>
      </c>
      <c r="J28" t="s">
        <v>204</v>
      </c>
      <c r="K28" t="s">
        <v>1491</v>
      </c>
      <c r="L28" t="s">
        <v>1491</v>
      </c>
    </row>
    <row r="29" spans="1:12" x14ac:dyDescent="0.25">
      <c r="A29" t="s">
        <v>1344</v>
      </c>
      <c r="B29" s="16" t="s">
        <v>1525</v>
      </c>
      <c r="C29" t="s">
        <v>1490</v>
      </c>
      <c r="D29" t="s">
        <v>1783</v>
      </c>
      <c r="E29" t="s">
        <v>1619</v>
      </c>
      <c r="I29" t="s">
        <v>204</v>
      </c>
      <c r="J29" t="s">
        <v>204</v>
      </c>
      <c r="K29" t="s">
        <v>1491</v>
      </c>
      <c r="L29" t="s">
        <v>1491</v>
      </c>
    </row>
    <row r="30" spans="1:12" x14ac:dyDescent="0.25">
      <c r="A30" t="s">
        <v>492</v>
      </c>
      <c r="B30" s="16" t="s">
        <v>1527</v>
      </c>
      <c r="C30" t="s">
        <v>1490</v>
      </c>
      <c r="D30" t="s">
        <v>1783</v>
      </c>
      <c r="I30" t="s">
        <v>204</v>
      </c>
      <c r="J30" t="s">
        <v>204</v>
      </c>
      <c r="K30" t="s">
        <v>1491</v>
      </c>
      <c r="L30" t="s">
        <v>1491</v>
      </c>
    </row>
    <row r="31" spans="1:12" x14ac:dyDescent="0.25">
      <c r="A31" t="s">
        <v>147</v>
      </c>
      <c r="B31" s="16" t="s">
        <v>383</v>
      </c>
      <c r="C31" t="s">
        <v>1490</v>
      </c>
      <c r="D31" t="s">
        <v>1783</v>
      </c>
      <c r="E31" t="s">
        <v>1788</v>
      </c>
      <c r="I31" t="s">
        <v>201</v>
      </c>
      <c r="J31" t="s">
        <v>204</v>
      </c>
      <c r="K31" t="s">
        <v>1507</v>
      </c>
      <c r="L31" t="s">
        <v>1491</v>
      </c>
    </row>
    <row r="32" spans="1:12" x14ac:dyDescent="0.25">
      <c r="A32" t="s">
        <v>125</v>
      </c>
      <c r="B32" s="16" t="s">
        <v>794</v>
      </c>
      <c r="C32" t="s">
        <v>1490</v>
      </c>
      <c r="D32" t="s">
        <v>1783</v>
      </c>
      <c r="E32" t="s">
        <v>1542</v>
      </c>
      <c r="I32" t="s">
        <v>1058</v>
      </c>
      <c r="J32" t="s">
        <v>204</v>
      </c>
      <c r="K32" t="s">
        <v>429</v>
      </c>
      <c r="L32" t="s">
        <v>1491</v>
      </c>
    </row>
    <row r="33" spans="1:12" x14ac:dyDescent="0.25">
      <c r="A33" t="s">
        <v>122</v>
      </c>
      <c r="B33" s="16" t="s">
        <v>1528</v>
      </c>
      <c r="C33" t="s">
        <v>1490</v>
      </c>
      <c r="D33" t="s">
        <v>1783</v>
      </c>
      <c r="I33" t="s">
        <v>204</v>
      </c>
      <c r="J33" t="s">
        <v>204</v>
      </c>
      <c r="K33" t="s">
        <v>1491</v>
      </c>
      <c r="L33" t="s">
        <v>1491</v>
      </c>
    </row>
    <row r="34" spans="1:12" x14ac:dyDescent="0.25">
      <c r="A34" t="s">
        <v>362</v>
      </c>
      <c r="B34" s="16" t="s">
        <v>1529</v>
      </c>
      <c r="C34" t="s">
        <v>1490</v>
      </c>
      <c r="D34" t="s">
        <v>1783</v>
      </c>
      <c r="F34" t="s">
        <v>1789</v>
      </c>
      <c r="I34" t="s">
        <v>204</v>
      </c>
      <c r="J34" t="s">
        <v>1587</v>
      </c>
      <c r="K34" t="s">
        <v>1595</v>
      </c>
      <c r="L34" t="s">
        <v>1491</v>
      </c>
    </row>
    <row r="35" spans="1:12" x14ac:dyDescent="0.25">
      <c r="A35" t="s">
        <v>533</v>
      </c>
      <c r="B35" s="16" t="s">
        <v>93</v>
      </c>
      <c r="C35" t="s">
        <v>1490</v>
      </c>
      <c r="D35" t="s">
        <v>1783</v>
      </c>
      <c r="I35" t="s">
        <v>204</v>
      </c>
      <c r="J35" t="s">
        <v>204</v>
      </c>
      <c r="K35" t="s">
        <v>1491</v>
      </c>
      <c r="L35" t="s">
        <v>1491</v>
      </c>
    </row>
    <row r="36" spans="1:12" x14ac:dyDescent="0.25">
      <c r="A36" t="s">
        <v>524</v>
      </c>
      <c r="B36" s="16" t="s">
        <v>1530</v>
      </c>
      <c r="C36" t="s">
        <v>1490</v>
      </c>
      <c r="D36" t="s">
        <v>1783</v>
      </c>
      <c r="E36" t="s">
        <v>1592</v>
      </c>
      <c r="I36" t="s">
        <v>293</v>
      </c>
      <c r="J36" t="s">
        <v>204</v>
      </c>
      <c r="K36" t="s">
        <v>1315</v>
      </c>
      <c r="L36" t="s">
        <v>1491</v>
      </c>
    </row>
    <row r="37" spans="1:12" x14ac:dyDescent="0.25">
      <c r="A37" t="s">
        <v>91</v>
      </c>
      <c r="B37" s="16" t="s">
        <v>1533</v>
      </c>
      <c r="C37" t="s">
        <v>1490</v>
      </c>
      <c r="D37" t="s">
        <v>1783</v>
      </c>
      <c r="E37" t="s">
        <v>1790</v>
      </c>
      <c r="I37" t="s">
        <v>1585</v>
      </c>
      <c r="J37" t="s">
        <v>204</v>
      </c>
      <c r="K37" t="s">
        <v>1597</v>
      </c>
      <c r="L37" t="s">
        <v>1491</v>
      </c>
    </row>
    <row r="38" spans="1:12" x14ac:dyDescent="0.25">
      <c r="A38" t="s">
        <v>221</v>
      </c>
      <c r="B38" s="16" t="s">
        <v>1534</v>
      </c>
      <c r="C38" t="s">
        <v>1490</v>
      </c>
      <c r="D38" t="s">
        <v>1783</v>
      </c>
      <c r="I38" t="s">
        <v>204</v>
      </c>
      <c r="J38" t="s">
        <v>204</v>
      </c>
      <c r="K38" t="s">
        <v>1491</v>
      </c>
      <c r="L38" t="s">
        <v>1491</v>
      </c>
    </row>
    <row r="39" spans="1:12" x14ac:dyDescent="0.25">
      <c r="A39" t="s">
        <v>358</v>
      </c>
      <c r="B39" s="16" t="s">
        <v>1535</v>
      </c>
      <c r="C39" t="s">
        <v>1490</v>
      </c>
      <c r="D39" t="s">
        <v>1783</v>
      </c>
      <c r="I39" t="s">
        <v>204</v>
      </c>
      <c r="J39" t="s">
        <v>204</v>
      </c>
      <c r="K39" t="s">
        <v>1491</v>
      </c>
      <c r="L39" t="s">
        <v>1491</v>
      </c>
    </row>
    <row r="40" spans="1:12" x14ac:dyDescent="0.25">
      <c r="A40" t="s">
        <v>1058</v>
      </c>
      <c r="B40" s="16" t="s">
        <v>1536</v>
      </c>
      <c r="C40" t="s">
        <v>1490</v>
      </c>
      <c r="D40" t="s">
        <v>1783</v>
      </c>
      <c r="I40" t="s">
        <v>204</v>
      </c>
      <c r="J40" t="s">
        <v>204</v>
      </c>
      <c r="K40" t="s">
        <v>1491</v>
      </c>
      <c r="L40" t="s">
        <v>1491</v>
      </c>
    </row>
    <row r="41" spans="1:12" x14ac:dyDescent="0.25">
      <c r="A41" t="s">
        <v>1289</v>
      </c>
      <c r="B41" s="16" t="s">
        <v>1537</v>
      </c>
      <c r="C41" t="s">
        <v>1490</v>
      </c>
      <c r="D41" t="s">
        <v>1783</v>
      </c>
      <c r="I41" t="s">
        <v>204</v>
      </c>
      <c r="J41" t="s">
        <v>204</v>
      </c>
      <c r="K41" t="s">
        <v>1491</v>
      </c>
      <c r="L41" t="s">
        <v>1491</v>
      </c>
    </row>
    <row r="42" spans="1:12" x14ac:dyDescent="0.25">
      <c r="A42" t="s">
        <v>81</v>
      </c>
      <c r="B42" s="16" t="s">
        <v>1539</v>
      </c>
      <c r="C42" t="s">
        <v>1490</v>
      </c>
      <c r="D42" t="s">
        <v>1783</v>
      </c>
      <c r="I42" t="s">
        <v>204</v>
      </c>
      <c r="J42" t="s">
        <v>204</v>
      </c>
      <c r="K42" t="s">
        <v>1491</v>
      </c>
      <c r="L42" t="s">
        <v>1491</v>
      </c>
    </row>
    <row r="43" spans="1:12" x14ac:dyDescent="0.25">
      <c r="A43" t="s">
        <v>1177</v>
      </c>
      <c r="B43" s="16" t="s">
        <v>1540</v>
      </c>
      <c r="C43" t="s">
        <v>1490</v>
      </c>
      <c r="D43" t="s">
        <v>1783</v>
      </c>
      <c r="F43" t="s">
        <v>1784</v>
      </c>
      <c r="I43" t="s">
        <v>204</v>
      </c>
      <c r="J43" t="s">
        <v>362</v>
      </c>
      <c r="K43" t="s">
        <v>1664</v>
      </c>
      <c r="L43" t="s">
        <v>1491</v>
      </c>
    </row>
    <row r="44" spans="1:12" x14ac:dyDescent="0.25">
      <c r="A44" t="s">
        <v>201</v>
      </c>
      <c r="B44" s="16" t="s">
        <v>1541</v>
      </c>
      <c r="C44" t="s">
        <v>1490</v>
      </c>
      <c r="D44" t="s">
        <v>1783</v>
      </c>
      <c r="E44" t="s">
        <v>1524</v>
      </c>
      <c r="I44" t="s">
        <v>204</v>
      </c>
      <c r="J44" t="s">
        <v>204</v>
      </c>
      <c r="K44" t="s">
        <v>1491</v>
      </c>
      <c r="L44" t="s">
        <v>1491</v>
      </c>
    </row>
    <row r="45" spans="1:12" x14ac:dyDescent="0.25">
      <c r="A45" t="s">
        <v>745</v>
      </c>
      <c r="B45" s="16" t="s">
        <v>72</v>
      </c>
      <c r="C45" t="s">
        <v>1490</v>
      </c>
      <c r="D45" t="s">
        <v>1783</v>
      </c>
      <c r="E45" t="s">
        <v>1542</v>
      </c>
      <c r="I45" t="s">
        <v>1058</v>
      </c>
      <c r="J45" t="s">
        <v>204</v>
      </c>
      <c r="K45" t="s">
        <v>429</v>
      </c>
      <c r="L45" t="s">
        <v>1491</v>
      </c>
    </row>
    <row r="46" spans="1:12" x14ac:dyDescent="0.25">
      <c r="A46" t="s">
        <v>1543</v>
      </c>
      <c r="B46" s="16" t="s">
        <v>1306</v>
      </c>
      <c r="C46" t="s">
        <v>1490</v>
      </c>
      <c r="D46" t="s">
        <v>1783</v>
      </c>
      <c r="I46" t="s">
        <v>204</v>
      </c>
      <c r="J46" t="s">
        <v>204</v>
      </c>
      <c r="K46" t="s">
        <v>1491</v>
      </c>
      <c r="L46" t="s">
        <v>1491</v>
      </c>
    </row>
    <row r="47" spans="1:12" x14ac:dyDescent="0.25">
      <c r="A47" t="s">
        <v>1238</v>
      </c>
      <c r="B47" s="16" t="s">
        <v>1545</v>
      </c>
      <c r="C47" t="s">
        <v>1490</v>
      </c>
      <c r="D47" t="s">
        <v>1783</v>
      </c>
      <c r="E47" t="s">
        <v>1498</v>
      </c>
      <c r="I47" t="s">
        <v>1499</v>
      </c>
      <c r="J47" t="s">
        <v>204</v>
      </c>
      <c r="K47" t="s">
        <v>1500</v>
      </c>
      <c r="L47" t="s">
        <v>1491</v>
      </c>
    </row>
    <row r="48" spans="1:12" x14ac:dyDescent="0.25">
      <c r="A48" t="s">
        <v>113</v>
      </c>
      <c r="B48" s="16" t="s">
        <v>1547</v>
      </c>
      <c r="C48" t="s">
        <v>1490</v>
      </c>
      <c r="D48" t="s">
        <v>1783</v>
      </c>
      <c r="I48" t="s">
        <v>204</v>
      </c>
      <c r="J48" t="s">
        <v>204</v>
      </c>
      <c r="K48" t="s">
        <v>1491</v>
      </c>
      <c r="L48" t="s">
        <v>1491</v>
      </c>
    </row>
    <row r="49" spans="1:12" x14ac:dyDescent="0.25">
      <c r="A49" t="s">
        <v>281</v>
      </c>
      <c r="B49" s="16" t="s">
        <v>1548</v>
      </c>
      <c r="C49" t="s">
        <v>1490</v>
      </c>
      <c r="D49" t="s">
        <v>1783</v>
      </c>
      <c r="F49" t="s">
        <v>1747</v>
      </c>
      <c r="I49" t="s">
        <v>204</v>
      </c>
      <c r="J49" t="s">
        <v>850</v>
      </c>
      <c r="K49" t="s">
        <v>1519</v>
      </c>
      <c r="L49" t="s">
        <v>1491</v>
      </c>
    </row>
    <row r="50" spans="1:12" x14ac:dyDescent="0.25">
      <c r="A50" t="s">
        <v>1000</v>
      </c>
      <c r="B50" s="16" t="s">
        <v>1549</v>
      </c>
      <c r="C50" t="s">
        <v>1490</v>
      </c>
      <c r="D50" t="s">
        <v>1783</v>
      </c>
      <c r="E50" t="s">
        <v>1789</v>
      </c>
      <c r="F50" t="s">
        <v>1791</v>
      </c>
      <c r="I50" t="s">
        <v>1595</v>
      </c>
      <c r="J50" t="s">
        <v>1583</v>
      </c>
      <c r="K50" t="s">
        <v>204</v>
      </c>
      <c r="L50" t="s">
        <v>1702</v>
      </c>
    </row>
    <row r="51" spans="1:12" x14ac:dyDescent="0.25">
      <c r="A51" t="s">
        <v>1280</v>
      </c>
      <c r="B51" s="16" t="s">
        <v>1550</v>
      </c>
      <c r="C51" t="s">
        <v>1490</v>
      </c>
      <c r="D51" t="s">
        <v>1783</v>
      </c>
      <c r="F51" t="s">
        <v>1791</v>
      </c>
      <c r="I51" t="s">
        <v>204</v>
      </c>
      <c r="J51" t="s">
        <v>1583</v>
      </c>
      <c r="K51" t="s">
        <v>1599</v>
      </c>
      <c r="L51" t="s">
        <v>1491</v>
      </c>
    </row>
    <row r="52" spans="1:12" x14ac:dyDescent="0.25">
      <c r="A52" t="s">
        <v>1551</v>
      </c>
      <c r="B52" s="16" t="s">
        <v>1552</v>
      </c>
      <c r="C52" t="s">
        <v>1490</v>
      </c>
      <c r="D52" t="s">
        <v>1783</v>
      </c>
      <c r="F52" t="s">
        <v>1792</v>
      </c>
      <c r="I52" t="s">
        <v>204</v>
      </c>
      <c r="J52" t="s">
        <v>979</v>
      </c>
      <c r="K52" t="s">
        <v>1593</v>
      </c>
      <c r="L52" t="s">
        <v>1491</v>
      </c>
    </row>
    <row r="53" spans="1:12" x14ac:dyDescent="0.25">
      <c r="A53" t="s">
        <v>293</v>
      </c>
      <c r="B53" s="16" t="s">
        <v>1553</v>
      </c>
      <c r="C53" t="s">
        <v>1490</v>
      </c>
      <c r="D53" t="s">
        <v>1783</v>
      </c>
      <c r="I53" t="s">
        <v>204</v>
      </c>
      <c r="J53" t="s">
        <v>204</v>
      </c>
      <c r="K53" t="s">
        <v>1491</v>
      </c>
      <c r="L53" t="s">
        <v>1491</v>
      </c>
    </row>
    <row r="54" spans="1:12" x14ac:dyDescent="0.25">
      <c r="A54" t="s">
        <v>877</v>
      </c>
      <c r="B54" s="16" t="s">
        <v>1315</v>
      </c>
      <c r="C54" t="s">
        <v>1490</v>
      </c>
      <c r="D54" t="s">
        <v>1783</v>
      </c>
      <c r="I54" t="s">
        <v>204</v>
      </c>
      <c r="J54" t="s">
        <v>204</v>
      </c>
      <c r="K54" t="s">
        <v>1491</v>
      </c>
      <c r="L54" t="s">
        <v>1491</v>
      </c>
    </row>
    <row r="55" spans="1:12" x14ac:dyDescent="0.25">
      <c r="A55" t="s">
        <v>460</v>
      </c>
      <c r="B55" s="16" t="s">
        <v>1554</v>
      </c>
      <c r="C55" t="s">
        <v>1490</v>
      </c>
      <c r="D55" t="s">
        <v>1783</v>
      </c>
      <c r="E55" t="s">
        <v>1793</v>
      </c>
      <c r="I55" t="s">
        <v>158</v>
      </c>
      <c r="J55" t="s">
        <v>204</v>
      </c>
      <c r="K55" t="s">
        <v>1624</v>
      </c>
      <c r="L55" t="s">
        <v>1491</v>
      </c>
    </row>
    <row r="56" spans="1:12" x14ac:dyDescent="0.25">
      <c r="A56" t="s">
        <v>1039</v>
      </c>
      <c r="B56" s="16" t="s">
        <v>1555</v>
      </c>
      <c r="C56" t="s">
        <v>1490</v>
      </c>
      <c r="D56" t="s">
        <v>1783</v>
      </c>
      <c r="I56" t="s">
        <v>204</v>
      </c>
      <c r="J56" t="s">
        <v>204</v>
      </c>
      <c r="K56" t="s">
        <v>1491</v>
      </c>
      <c r="L56" t="s">
        <v>1491</v>
      </c>
    </row>
    <row r="57" spans="1:12" x14ac:dyDescent="0.25">
      <c r="A57" t="s">
        <v>754</v>
      </c>
      <c r="B57" s="16" t="s">
        <v>1556</v>
      </c>
      <c r="C57" t="s">
        <v>1490</v>
      </c>
      <c r="D57" t="s">
        <v>1783</v>
      </c>
      <c r="E57" t="s">
        <v>1794</v>
      </c>
      <c r="I57" t="s">
        <v>1238</v>
      </c>
      <c r="J57" t="s">
        <v>204</v>
      </c>
      <c r="K57" t="s">
        <v>1137</v>
      </c>
      <c r="L57" t="s">
        <v>1491</v>
      </c>
    </row>
    <row r="58" spans="1:12" x14ac:dyDescent="0.25">
      <c r="A58" t="s">
        <v>247</v>
      </c>
      <c r="B58" s="16" t="s">
        <v>1557</v>
      </c>
      <c r="C58" t="s">
        <v>1490</v>
      </c>
      <c r="D58" t="s">
        <v>1783</v>
      </c>
      <c r="I58" t="s">
        <v>204</v>
      </c>
      <c r="J58" t="s">
        <v>204</v>
      </c>
      <c r="K58" t="s">
        <v>1491</v>
      </c>
      <c r="L58" t="s">
        <v>1491</v>
      </c>
    </row>
    <row r="59" spans="1:12" x14ac:dyDescent="0.25">
      <c r="A59" t="s">
        <v>340</v>
      </c>
      <c r="B59" s="16" t="s">
        <v>46</v>
      </c>
      <c r="C59" t="s">
        <v>1490</v>
      </c>
      <c r="D59" t="s">
        <v>1783</v>
      </c>
      <c r="I59" t="s">
        <v>204</v>
      </c>
      <c r="J59" t="s">
        <v>204</v>
      </c>
      <c r="K59" t="s">
        <v>1491</v>
      </c>
      <c r="L59" t="s">
        <v>1491</v>
      </c>
    </row>
    <row r="60" spans="1:12" x14ac:dyDescent="0.25">
      <c r="A60" t="s">
        <v>158</v>
      </c>
      <c r="B60" s="16" t="s">
        <v>1561</v>
      </c>
      <c r="C60" t="s">
        <v>1490</v>
      </c>
      <c r="D60" t="s">
        <v>1783</v>
      </c>
      <c r="I60" t="s">
        <v>204</v>
      </c>
      <c r="J60" t="s">
        <v>204</v>
      </c>
      <c r="K60" t="s">
        <v>1491</v>
      </c>
      <c r="L60" t="s">
        <v>1491</v>
      </c>
    </row>
    <row r="61" spans="1:12" x14ac:dyDescent="0.25">
      <c r="A61" t="s">
        <v>581</v>
      </c>
      <c r="B61" s="16" t="s">
        <v>1562</v>
      </c>
      <c r="C61" t="s">
        <v>1490</v>
      </c>
      <c r="D61" t="s">
        <v>1783</v>
      </c>
      <c r="F61" t="s">
        <v>1795</v>
      </c>
      <c r="I61" t="s">
        <v>204</v>
      </c>
      <c r="J61" t="s">
        <v>1493</v>
      </c>
      <c r="K61" t="s">
        <v>1494</v>
      </c>
      <c r="L61" t="s">
        <v>1491</v>
      </c>
    </row>
    <row r="62" spans="1:12" x14ac:dyDescent="0.25">
      <c r="A62" t="s">
        <v>1313</v>
      </c>
      <c r="B62" s="16" t="s">
        <v>1563</v>
      </c>
      <c r="C62" t="s">
        <v>1490</v>
      </c>
      <c r="D62" t="s">
        <v>1783</v>
      </c>
      <c r="I62" t="s">
        <v>204</v>
      </c>
      <c r="J62" t="s">
        <v>204</v>
      </c>
      <c r="K62" t="s">
        <v>1491</v>
      </c>
      <c r="L62" t="s">
        <v>1491</v>
      </c>
    </row>
    <row r="63" spans="1:12" x14ac:dyDescent="0.25">
      <c r="A63" t="s">
        <v>105</v>
      </c>
      <c r="B63" s="16" t="s">
        <v>1564</v>
      </c>
      <c r="C63" t="s">
        <v>1490</v>
      </c>
      <c r="D63" t="s">
        <v>1783</v>
      </c>
      <c r="I63" t="s">
        <v>204</v>
      </c>
      <c r="J63" t="s">
        <v>204</v>
      </c>
      <c r="K63" t="s">
        <v>1491</v>
      </c>
      <c r="L63" t="s">
        <v>1491</v>
      </c>
    </row>
    <row r="64" spans="1:12" x14ac:dyDescent="0.25">
      <c r="A64" t="s">
        <v>1559</v>
      </c>
      <c r="B64" s="16" t="s">
        <v>1565</v>
      </c>
      <c r="C64" t="s">
        <v>1490</v>
      </c>
      <c r="D64" t="s">
        <v>1783</v>
      </c>
      <c r="I64" t="s">
        <v>204</v>
      </c>
      <c r="J64" t="s">
        <v>204</v>
      </c>
      <c r="K64" t="s">
        <v>1491</v>
      </c>
      <c r="L64" t="s">
        <v>1491</v>
      </c>
    </row>
    <row r="65" spans="1:12" x14ac:dyDescent="0.25">
      <c r="A65" t="s">
        <v>1566</v>
      </c>
      <c r="B65" s="16" t="s">
        <v>1567</v>
      </c>
      <c r="C65" t="s">
        <v>1490</v>
      </c>
      <c r="D65" t="s">
        <v>1783</v>
      </c>
      <c r="I65" t="s">
        <v>204</v>
      </c>
      <c r="J65" t="s">
        <v>204</v>
      </c>
      <c r="K65" t="s">
        <v>1491</v>
      </c>
      <c r="L65" t="s">
        <v>1491</v>
      </c>
    </row>
    <row r="66" spans="1:12" x14ac:dyDescent="0.25">
      <c r="A66" t="s">
        <v>1343</v>
      </c>
      <c r="B66" s="16" t="s">
        <v>1568</v>
      </c>
      <c r="C66" t="s">
        <v>1490</v>
      </c>
      <c r="D66" t="s">
        <v>1783</v>
      </c>
      <c r="E66" t="s">
        <v>1546</v>
      </c>
      <c r="I66" t="s">
        <v>1177</v>
      </c>
      <c r="J66" t="s">
        <v>204</v>
      </c>
      <c r="K66" t="s">
        <v>220</v>
      </c>
      <c r="L66" t="s">
        <v>1491</v>
      </c>
    </row>
    <row r="67" spans="1:12" x14ac:dyDescent="0.25">
      <c r="A67" t="s">
        <v>1499</v>
      </c>
      <c r="B67" s="16" t="s">
        <v>1569</v>
      </c>
      <c r="C67" t="s">
        <v>1490</v>
      </c>
      <c r="D67" t="s">
        <v>1783</v>
      </c>
      <c r="E67" t="s">
        <v>1793</v>
      </c>
      <c r="F67" t="s">
        <v>1792</v>
      </c>
      <c r="I67" t="s">
        <v>158</v>
      </c>
      <c r="J67" t="s">
        <v>979</v>
      </c>
      <c r="K67" t="s">
        <v>204</v>
      </c>
      <c r="L67" t="s">
        <v>1671</v>
      </c>
    </row>
    <row r="68" spans="1:12" x14ac:dyDescent="0.25">
      <c r="A68" t="s">
        <v>1502</v>
      </c>
      <c r="B68" s="16" t="s">
        <v>1570</v>
      </c>
      <c r="C68" t="s">
        <v>1490</v>
      </c>
      <c r="D68" t="s">
        <v>1783</v>
      </c>
      <c r="I68" t="s">
        <v>204</v>
      </c>
      <c r="J68" t="s">
        <v>204</v>
      </c>
      <c r="K68" t="s">
        <v>1491</v>
      </c>
      <c r="L68" t="s">
        <v>1491</v>
      </c>
    </row>
    <row r="69" spans="1:12" x14ac:dyDescent="0.25">
      <c r="A69" t="s">
        <v>1571</v>
      </c>
      <c r="B69" s="16" t="s">
        <v>1572</v>
      </c>
      <c r="C69" t="s">
        <v>1490</v>
      </c>
      <c r="D69" t="s">
        <v>1783</v>
      </c>
      <c r="I69" t="s">
        <v>204</v>
      </c>
      <c r="J69" t="s">
        <v>204</v>
      </c>
      <c r="K69" t="s">
        <v>1491</v>
      </c>
      <c r="L69" t="s">
        <v>1491</v>
      </c>
    </row>
    <row r="70" spans="1:12" x14ac:dyDescent="0.25">
      <c r="A70" t="s">
        <v>1301</v>
      </c>
      <c r="B70" s="16" t="s">
        <v>55</v>
      </c>
      <c r="C70" t="s">
        <v>1490</v>
      </c>
      <c r="D70" t="s">
        <v>1783</v>
      </c>
      <c r="I70" t="s">
        <v>204</v>
      </c>
      <c r="J70" t="s">
        <v>204</v>
      </c>
      <c r="K70" t="s">
        <v>1491</v>
      </c>
      <c r="L70" t="s">
        <v>1491</v>
      </c>
    </row>
    <row r="71" spans="1:12" x14ac:dyDescent="0.25">
      <c r="A71" t="s">
        <v>1573</v>
      </c>
      <c r="B71" s="16" t="s">
        <v>1517</v>
      </c>
      <c r="C71" t="s">
        <v>1490</v>
      </c>
      <c r="D71" t="s">
        <v>1783</v>
      </c>
      <c r="I71" t="s">
        <v>204</v>
      </c>
      <c r="J71" t="s">
        <v>204</v>
      </c>
      <c r="K71" t="s">
        <v>1491</v>
      </c>
      <c r="L71" t="s">
        <v>1491</v>
      </c>
    </row>
    <row r="72" spans="1:12" x14ac:dyDescent="0.25">
      <c r="A72" t="s">
        <v>1574</v>
      </c>
      <c r="B72" s="16" t="s">
        <v>1575</v>
      </c>
      <c r="C72" t="s">
        <v>1490</v>
      </c>
      <c r="D72" t="s">
        <v>1783</v>
      </c>
      <c r="I72" t="s">
        <v>204</v>
      </c>
      <c r="J72" t="s">
        <v>204</v>
      </c>
      <c r="K72" t="s">
        <v>1491</v>
      </c>
      <c r="L72" t="s">
        <v>1491</v>
      </c>
    </row>
    <row r="73" spans="1:12" x14ac:dyDescent="0.25">
      <c r="A73" t="s">
        <v>850</v>
      </c>
      <c r="B73" s="16" t="s">
        <v>1576</v>
      </c>
      <c r="C73" t="s">
        <v>1490</v>
      </c>
      <c r="D73" t="s">
        <v>1783</v>
      </c>
      <c r="E73" t="s">
        <v>1619</v>
      </c>
      <c r="I73" t="s">
        <v>204</v>
      </c>
      <c r="J73" t="s">
        <v>204</v>
      </c>
      <c r="K73" t="s">
        <v>1491</v>
      </c>
      <c r="L73" t="s">
        <v>1491</v>
      </c>
    </row>
    <row r="74" spans="1:12" x14ac:dyDescent="0.25">
      <c r="A74" t="s">
        <v>1579</v>
      </c>
      <c r="B74" s="16" t="s">
        <v>1580</v>
      </c>
      <c r="C74" t="s">
        <v>1490</v>
      </c>
      <c r="D74" t="s">
        <v>1783</v>
      </c>
      <c r="I74" t="s">
        <v>204</v>
      </c>
      <c r="J74" t="s">
        <v>204</v>
      </c>
      <c r="K74" t="s">
        <v>1491</v>
      </c>
      <c r="L74" t="s">
        <v>1491</v>
      </c>
    </row>
    <row r="75" spans="1:12" x14ac:dyDescent="0.25">
      <c r="A75" t="s">
        <v>1581</v>
      </c>
      <c r="B75" s="16" t="s">
        <v>1582</v>
      </c>
      <c r="C75" t="s">
        <v>1490</v>
      </c>
      <c r="D75" t="s">
        <v>1783</v>
      </c>
      <c r="I75" t="s">
        <v>204</v>
      </c>
      <c r="J75" t="s">
        <v>204</v>
      </c>
      <c r="K75" t="s">
        <v>1491</v>
      </c>
      <c r="L75" t="s">
        <v>1491</v>
      </c>
    </row>
    <row r="76" spans="1:12" x14ac:dyDescent="0.25">
      <c r="A76" t="s">
        <v>1583</v>
      </c>
      <c r="B76" s="16" t="s">
        <v>1584</v>
      </c>
      <c r="C76" t="s">
        <v>1490</v>
      </c>
      <c r="D76" t="s">
        <v>1783</v>
      </c>
      <c r="I76" t="s">
        <v>204</v>
      </c>
      <c r="J76" t="s">
        <v>204</v>
      </c>
      <c r="K76" t="s">
        <v>1491</v>
      </c>
      <c r="L76" t="s">
        <v>1491</v>
      </c>
    </row>
    <row r="77" spans="1:12" x14ac:dyDescent="0.25">
      <c r="A77" t="s">
        <v>1585</v>
      </c>
      <c r="B77" s="16" t="s">
        <v>1586</v>
      </c>
      <c r="C77" t="s">
        <v>1490</v>
      </c>
      <c r="D77" t="s">
        <v>1783</v>
      </c>
      <c r="I77" t="s">
        <v>204</v>
      </c>
      <c r="J77" t="s">
        <v>204</v>
      </c>
      <c r="K77" t="s">
        <v>1491</v>
      </c>
      <c r="L77" t="s">
        <v>1491</v>
      </c>
    </row>
    <row r="78" spans="1:12" x14ac:dyDescent="0.25">
      <c r="A78" t="s">
        <v>1587</v>
      </c>
      <c r="B78" s="16" t="s">
        <v>1588</v>
      </c>
      <c r="C78" t="s">
        <v>1490</v>
      </c>
      <c r="D78" t="s">
        <v>1783</v>
      </c>
      <c r="I78" t="s">
        <v>204</v>
      </c>
      <c r="J78" t="s">
        <v>204</v>
      </c>
      <c r="K78" t="s">
        <v>1491</v>
      </c>
      <c r="L78" t="s">
        <v>1491</v>
      </c>
    </row>
    <row r="79" spans="1:12" x14ac:dyDescent="0.25">
      <c r="A79" t="s">
        <v>979</v>
      </c>
      <c r="B79" s="16" t="s">
        <v>1589</v>
      </c>
      <c r="C79" t="s">
        <v>1490</v>
      </c>
      <c r="D79" t="s">
        <v>1783</v>
      </c>
      <c r="F79" t="s">
        <v>1682</v>
      </c>
      <c r="I79" t="s">
        <v>204</v>
      </c>
      <c r="J79" t="s">
        <v>1581</v>
      </c>
      <c r="K79" t="s">
        <v>163</v>
      </c>
      <c r="L79" t="s">
        <v>1491</v>
      </c>
    </row>
    <row r="80" spans="1:12" x14ac:dyDescent="0.25">
      <c r="A80" t="s">
        <v>1493</v>
      </c>
      <c r="B80" s="16" t="s">
        <v>1590</v>
      </c>
      <c r="C80" t="s">
        <v>1490</v>
      </c>
      <c r="D80" t="s">
        <v>1783</v>
      </c>
      <c r="E80" t="s">
        <v>1786</v>
      </c>
      <c r="I80" t="s">
        <v>204</v>
      </c>
      <c r="J80" t="s">
        <v>204</v>
      </c>
      <c r="K80" t="s">
        <v>1491</v>
      </c>
      <c r="L80" t="s">
        <v>1491</v>
      </c>
    </row>
    <row r="81" spans="1:12" x14ac:dyDescent="0.25">
      <c r="A81" t="s">
        <v>1514</v>
      </c>
      <c r="B81" s="16" t="s">
        <v>1591</v>
      </c>
      <c r="C81" t="s">
        <v>1490</v>
      </c>
      <c r="D81" t="s">
        <v>1783</v>
      </c>
      <c r="I81" t="s">
        <v>204</v>
      </c>
      <c r="J81" t="s">
        <v>204</v>
      </c>
      <c r="K81" t="s">
        <v>1491</v>
      </c>
      <c r="L81" t="s">
        <v>1491</v>
      </c>
    </row>
    <row r="82" spans="1:12" x14ac:dyDescent="0.25">
      <c r="A82" t="s">
        <v>1494</v>
      </c>
      <c r="B82" s="16" t="s">
        <v>592</v>
      </c>
      <c r="C82" t="s">
        <v>1490</v>
      </c>
      <c r="D82" t="s">
        <v>1783</v>
      </c>
      <c r="F82" t="s">
        <v>1796</v>
      </c>
      <c r="I82" t="s">
        <v>204</v>
      </c>
      <c r="J82" t="s">
        <v>1585</v>
      </c>
      <c r="K82" t="s">
        <v>1597</v>
      </c>
      <c r="L82" t="s">
        <v>1491</v>
      </c>
    </row>
    <row r="83" spans="1:12" x14ac:dyDescent="0.25">
      <c r="A83" t="s">
        <v>1593</v>
      </c>
      <c r="B83" s="16" t="s">
        <v>1594</v>
      </c>
      <c r="C83" t="s">
        <v>1490</v>
      </c>
      <c r="D83" t="s">
        <v>1783</v>
      </c>
      <c r="I83" t="s">
        <v>204</v>
      </c>
      <c r="J83" t="s">
        <v>204</v>
      </c>
      <c r="K83" t="s">
        <v>1491</v>
      </c>
      <c r="L83" t="s">
        <v>1491</v>
      </c>
    </row>
    <row r="84" spans="1:12" x14ac:dyDescent="0.25">
      <c r="A84" t="s">
        <v>1595</v>
      </c>
      <c r="B84" s="16" t="s">
        <v>1596</v>
      </c>
      <c r="C84" t="s">
        <v>1490</v>
      </c>
      <c r="D84" t="s">
        <v>1783</v>
      </c>
      <c r="I84" t="s">
        <v>204</v>
      </c>
      <c r="J84" t="s">
        <v>204</v>
      </c>
      <c r="K84" t="s">
        <v>1491</v>
      </c>
      <c r="L84" t="s">
        <v>1491</v>
      </c>
    </row>
    <row r="85" spans="1:12" x14ac:dyDescent="0.25">
      <c r="A85" t="s">
        <v>1597</v>
      </c>
      <c r="B85" s="16" t="s">
        <v>1598</v>
      </c>
      <c r="C85" t="s">
        <v>1490</v>
      </c>
      <c r="D85" t="s">
        <v>1783</v>
      </c>
      <c r="E85" t="s">
        <v>1741</v>
      </c>
      <c r="I85" t="s">
        <v>581</v>
      </c>
      <c r="J85" t="s">
        <v>204</v>
      </c>
      <c r="K85" t="s">
        <v>1622</v>
      </c>
      <c r="L85" t="s">
        <v>1491</v>
      </c>
    </row>
    <row r="86" spans="1:12" x14ac:dyDescent="0.25">
      <c r="A86" t="s">
        <v>1599</v>
      </c>
      <c r="B86" s="16" t="s">
        <v>1600</v>
      </c>
      <c r="C86" t="s">
        <v>1490</v>
      </c>
      <c r="D86" t="s">
        <v>1783</v>
      </c>
      <c r="E86" t="s">
        <v>1741</v>
      </c>
      <c r="F86" t="s">
        <v>1577</v>
      </c>
      <c r="I86" t="s">
        <v>581</v>
      </c>
      <c r="J86" t="s">
        <v>1578</v>
      </c>
      <c r="K86" t="s">
        <v>204</v>
      </c>
      <c r="L86" t="s">
        <v>1697</v>
      </c>
    </row>
    <row r="87" spans="1:12" x14ac:dyDescent="0.25">
      <c r="A87" t="s">
        <v>163</v>
      </c>
      <c r="B87" s="16" t="s">
        <v>1602</v>
      </c>
      <c r="C87" t="s">
        <v>1490</v>
      </c>
      <c r="D87" t="s">
        <v>1783</v>
      </c>
      <c r="I87" t="s">
        <v>204</v>
      </c>
      <c r="J87" t="s">
        <v>204</v>
      </c>
      <c r="K87" t="s">
        <v>1491</v>
      </c>
      <c r="L87" t="s">
        <v>1491</v>
      </c>
    </row>
    <row r="88" spans="1:12" x14ac:dyDescent="0.25">
      <c r="A88" t="s">
        <v>1603</v>
      </c>
      <c r="B88" s="16" t="s">
        <v>1604</v>
      </c>
      <c r="C88" t="s">
        <v>1490</v>
      </c>
      <c r="D88" t="s">
        <v>1783</v>
      </c>
      <c r="F88" t="s">
        <v>1797</v>
      </c>
      <c r="I88" t="s">
        <v>204</v>
      </c>
      <c r="J88" t="s">
        <v>1571</v>
      </c>
      <c r="K88" t="s">
        <v>1611</v>
      </c>
      <c r="L88" t="s">
        <v>1491</v>
      </c>
    </row>
    <row r="89" spans="1:12" x14ac:dyDescent="0.25">
      <c r="A89" t="s">
        <v>1519</v>
      </c>
      <c r="B89" s="16" t="s">
        <v>1605</v>
      </c>
      <c r="C89" t="s">
        <v>1490</v>
      </c>
      <c r="D89" t="s">
        <v>1783</v>
      </c>
      <c r="I89" t="s">
        <v>204</v>
      </c>
      <c r="J89" t="s">
        <v>204</v>
      </c>
      <c r="K89" t="s">
        <v>1491</v>
      </c>
      <c r="L89" t="s">
        <v>1491</v>
      </c>
    </row>
    <row r="90" spans="1:12" x14ac:dyDescent="0.25">
      <c r="A90" t="s">
        <v>175</v>
      </c>
      <c r="B90" s="16" t="s">
        <v>1606</v>
      </c>
      <c r="C90" t="s">
        <v>1490</v>
      </c>
      <c r="D90" t="s">
        <v>1783</v>
      </c>
      <c r="I90" t="s">
        <v>204</v>
      </c>
      <c r="J90" t="s">
        <v>204</v>
      </c>
      <c r="K90" t="s">
        <v>1491</v>
      </c>
      <c r="L90" t="s">
        <v>1491</v>
      </c>
    </row>
    <row r="91" spans="1:12" x14ac:dyDescent="0.25">
      <c r="A91" t="s">
        <v>1607</v>
      </c>
      <c r="B91" s="16" t="s">
        <v>1608</v>
      </c>
      <c r="C91" t="s">
        <v>1490</v>
      </c>
      <c r="D91" t="s">
        <v>1783</v>
      </c>
      <c r="E91" t="s">
        <v>1577</v>
      </c>
      <c r="I91" t="s">
        <v>1343</v>
      </c>
      <c r="J91" t="s">
        <v>204</v>
      </c>
      <c r="K91" t="s">
        <v>1578</v>
      </c>
      <c r="L91" t="s">
        <v>1491</v>
      </c>
    </row>
    <row r="92" spans="1:12" x14ac:dyDescent="0.25">
      <c r="A92" t="s">
        <v>1609</v>
      </c>
      <c r="B92" s="16" t="s">
        <v>1610</v>
      </c>
      <c r="C92" t="s">
        <v>1490</v>
      </c>
      <c r="D92" t="s">
        <v>1783</v>
      </c>
      <c r="I92" t="s">
        <v>204</v>
      </c>
      <c r="J92" t="s">
        <v>204</v>
      </c>
      <c r="K92" t="s">
        <v>1491</v>
      </c>
      <c r="L92" t="s">
        <v>1491</v>
      </c>
    </row>
    <row r="93" spans="1:12" x14ac:dyDescent="0.25">
      <c r="A93" t="s">
        <v>1611</v>
      </c>
      <c r="B93" s="16" t="s">
        <v>1612</v>
      </c>
      <c r="C93" t="s">
        <v>1490</v>
      </c>
      <c r="D93" t="s">
        <v>1783</v>
      </c>
      <c r="I93" t="s">
        <v>204</v>
      </c>
      <c r="J93" t="s">
        <v>204</v>
      </c>
      <c r="K93" t="s">
        <v>1491</v>
      </c>
      <c r="L93" t="s">
        <v>1491</v>
      </c>
    </row>
    <row r="94" spans="1:12" x14ac:dyDescent="0.25">
      <c r="A94" t="s">
        <v>1503</v>
      </c>
      <c r="B94" s="16" t="s">
        <v>1613</v>
      </c>
      <c r="C94" t="s">
        <v>1490</v>
      </c>
      <c r="D94" t="s">
        <v>1783</v>
      </c>
      <c r="I94" t="s">
        <v>204</v>
      </c>
      <c r="J94" t="s">
        <v>204</v>
      </c>
      <c r="K94" t="s">
        <v>1491</v>
      </c>
      <c r="L94" t="s">
        <v>1491</v>
      </c>
    </row>
    <row r="95" spans="1:12" x14ac:dyDescent="0.25">
      <c r="A95" t="s">
        <v>1500</v>
      </c>
      <c r="B95" s="16" t="s">
        <v>1614</v>
      </c>
      <c r="C95" t="s">
        <v>1490</v>
      </c>
      <c r="D95" t="s">
        <v>1783</v>
      </c>
      <c r="I95" t="s">
        <v>204</v>
      </c>
      <c r="J95" t="s">
        <v>204</v>
      </c>
      <c r="K95" t="s">
        <v>1491</v>
      </c>
      <c r="L95" t="s">
        <v>1491</v>
      </c>
    </row>
    <row r="96" spans="1:12" x14ac:dyDescent="0.25">
      <c r="A96" t="s">
        <v>1578</v>
      </c>
      <c r="B96" s="16" t="s">
        <v>1615</v>
      </c>
      <c r="C96" t="s">
        <v>1490</v>
      </c>
      <c r="D96" t="s">
        <v>1783</v>
      </c>
      <c r="I96" t="s">
        <v>204</v>
      </c>
      <c r="J96" t="s">
        <v>204</v>
      </c>
      <c r="K96" t="s">
        <v>1491</v>
      </c>
      <c r="L96" t="s">
        <v>1491</v>
      </c>
    </row>
    <row r="97" spans="1:12" x14ac:dyDescent="0.25">
      <c r="A97" t="s">
        <v>1516</v>
      </c>
      <c r="B97" s="16" t="s">
        <v>1616</v>
      </c>
      <c r="C97" t="s">
        <v>1490</v>
      </c>
      <c r="D97" t="s">
        <v>1783</v>
      </c>
      <c r="I97" t="s">
        <v>204</v>
      </c>
      <c r="J97" t="s">
        <v>204</v>
      </c>
      <c r="K97" t="s">
        <v>1491</v>
      </c>
      <c r="L97" t="s">
        <v>1491</v>
      </c>
    </row>
    <row r="98" spans="1:12" x14ac:dyDescent="0.25">
      <c r="A98" t="s">
        <v>1560</v>
      </c>
      <c r="B98" s="16" t="s">
        <v>1617</v>
      </c>
      <c r="C98" t="s">
        <v>1490</v>
      </c>
      <c r="D98" t="s">
        <v>1783</v>
      </c>
      <c r="I98" t="s">
        <v>204</v>
      </c>
      <c r="J98" t="s">
        <v>204</v>
      </c>
      <c r="K98" t="s">
        <v>1491</v>
      </c>
      <c r="L98" t="s">
        <v>1491</v>
      </c>
    </row>
    <row r="99" spans="1:12" x14ac:dyDescent="0.25">
      <c r="A99" t="s">
        <v>1171</v>
      </c>
      <c r="B99" s="16" t="s">
        <v>1618</v>
      </c>
      <c r="C99" t="s">
        <v>1490</v>
      </c>
      <c r="D99" t="s">
        <v>1783</v>
      </c>
      <c r="E99" t="s">
        <v>1786</v>
      </c>
      <c r="I99" t="s">
        <v>204</v>
      </c>
      <c r="J99" t="s">
        <v>204</v>
      </c>
      <c r="K99" t="s">
        <v>1491</v>
      </c>
      <c r="L99" t="s">
        <v>1491</v>
      </c>
    </row>
    <row r="100" spans="1:12" x14ac:dyDescent="0.25">
      <c r="A100" t="s">
        <v>1620</v>
      </c>
      <c r="B100" s="16" t="s">
        <v>1621</v>
      </c>
      <c r="C100" t="s">
        <v>1490</v>
      </c>
      <c r="D100" t="s">
        <v>1783</v>
      </c>
      <c r="I100" t="s">
        <v>204</v>
      </c>
      <c r="J100" t="s">
        <v>204</v>
      </c>
      <c r="K100" t="s">
        <v>1491</v>
      </c>
      <c r="L100" t="s">
        <v>1491</v>
      </c>
    </row>
    <row r="101" spans="1:12" x14ac:dyDescent="0.25">
      <c r="A101" t="s">
        <v>1622</v>
      </c>
      <c r="B101" s="16" t="s">
        <v>1623</v>
      </c>
      <c r="C101" t="s">
        <v>1490</v>
      </c>
      <c r="D101" t="s">
        <v>1783</v>
      </c>
      <c r="F101" t="s">
        <v>1796</v>
      </c>
      <c r="I101" t="s">
        <v>204</v>
      </c>
      <c r="J101" t="s">
        <v>1585</v>
      </c>
      <c r="K101" t="s">
        <v>1597</v>
      </c>
      <c r="L101" t="s">
        <v>1491</v>
      </c>
    </row>
    <row r="102" spans="1:12" x14ac:dyDescent="0.25">
      <c r="A102" t="s">
        <v>1624</v>
      </c>
      <c r="B102" s="16" t="s">
        <v>1625</v>
      </c>
      <c r="C102" t="s">
        <v>1490</v>
      </c>
      <c r="D102" t="s">
        <v>1783</v>
      </c>
      <c r="I102" t="s">
        <v>204</v>
      </c>
      <c r="J102" t="s">
        <v>204</v>
      </c>
      <c r="K102" t="s">
        <v>1491</v>
      </c>
      <c r="L102" t="s">
        <v>1491</v>
      </c>
    </row>
    <row r="103" spans="1:12" x14ac:dyDescent="0.25">
      <c r="A103" t="s">
        <v>1626</v>
      </c>
      <c r="B103" s="16" t="s">
        <v>1627</v>
      </c>
      <c r="C103" t="s">
        <v>1490</v>
      </c>
      <c r="D103" t="s">
        <v>1783</v>
      </c>
      <c r="E103" t="s">
        <v>1558</v>
      </c>
      <c r="I103" t="s">
        <v>1559</v>
      </c>
      <c r="J103" t="s">
        <v>204</v>
      </c>
      <c r="K103" t="s">
        <v>1560</v>
      </c>
      <c r="L103" t="s">
        <v>1491</v>
      </c>
    </row>
    <row r="104" spans="1:12" x14ac:dyDescent="0.25">
      <c r="A104" t="s">
        <v>1628</v>
      </c>
      <c r="B104" s="16" t="s">
        <v>1629</v>
      </c>
      <c r="C104" t="s">
        <v>1490</v>
      </c>
      <c r="D104" t="s">
        <v>1783</v>
      </c>
      <c r="E104" t="s">
        <v>1558</v>
      </c>
      <c r="I104" t="s">
        <v>1559</v>
      </c>
      <c r="J104" t="s">
        <v>204</v>
      </c>
      <c r="K104" t="s">
        <v>1560</v>
      </c>
      <c r="L104" t="s">
        <v>1491</v>
      </c>
    </row>
    <row r="105" spans="1:12" x14ac:dyDescent="0.25">
      <c r="A105" t="s">
        <v>1630</v>
      </c>
      <c r="B105" s="16" t="s">
        <v>1569</v>
      </c>
      <c r="C105" t="s">
        <v>1490</v>
      </c>
      <c r="D105" t="s">
        <v>1783</v>
      </c>
      <c r="I105" t="s">
        <v>204</v>
      </c>
      <c r="J105" t="s">
        <v>204</v>
      </c>
      <c r="K105" t="s">
        <v>1491</v>
      </c>
      <c r="L105" t="s">
        <v>1491</v>
      </c>
    </row>
    <row r="106" spans="1:12" x14ac:dyDescent="0.25">
      <c r="A106" t="s">
        <v>529</v>
      </c>
      <c r="B106" s="16" t="s">
        <v>1631</v>
      </c>
      <c r="C106" t="s">
        <v>1490</v>
      </c>
      <c r="D106" t="s">
        <v>1783</v>
      </c>
      <c r="I106" t="s">
        <v>204</v>
      </c>
      <c r="J106" t="s">
        <v>204</v>
      </c>
      <c r="K106" t="s">
        <v>1491</v>
      </c>
      <c r="L106" t="s">
        <v>1491</v>
      </c>
    </row>
    <row r="107" spans="1:12" x14ac:dyDescent="0.25">
      <c r="A107" t="s">
        <v>1632</v>
      </c>
      <c r="B107" s="16" t="s">
        <v>1633</v>
      </c>
      <c r="C107" t="s">
        <v>1490</v>
      </c>
      <c r="D107" t="s">
        <v>1783</v>
      </c>
      <c r="F107" t="s">
        <v>1796</v>
      </c>
      <c r="I107" t="s">
        <v>204</v>
      </c>
      <c r="J107" t="s">
        <v>1585</v>
      </c>
      <c r="K107" t="s">
        <v>1597</v>
      </c>
      <c r="L107" t="s">
        <v>1491</v>
      </c>
    </row>
    <row r="108" spans="1:12" x14ac:dyDescent="0.25">
      <c r="A108" t="s">
        <v>1634</v>
      </c>
      <c r="B108" s="16" t="s">
        <v>1635</v>
      </c>
      <c r="C108" t="s">
        <v>1490</v>
      </c>
      <c r="D108" t="s">
        <v>1783</v>
      </c>
      <c r="I108" t="s">
        <v>204</v>
      </c>
      <c r="J108" t="s">
        <v>204</v>
      </c>
      <c r="K108" t="s">
        <v>1491</v>
      </c>
      <c r="L108" t="s">
        <v>1491</v>
      </c>
    </row>
    <row r="109" spans="1:12" x14ac:dyDescent="0.25">
      <c r="A109" t="s">
        <v>1315</v>
      </c>
      <c r="B109" s="16" t="s">
        <v>1636</v>
      </c>
      <c r="C109" t="s">
        <v>1490</v>
      </c>
      <c r="D109" t="s">
        <v>1783</v>
      </c>
      <c r="E109" t="s">
        <v>1498</v>
      </c>
      <c r="I109" t="s">
        <v>1499</v>
      </c>
      <c r="J109" t="s">
        <v>204</v>
      </c>
      <c r="K109" t="s">
        <v>1500</v>
      </c>
      <c r="L109" t="s">
        <v>1491</v>
      </c>
    </row>
    <row r="110" spans="1:12" x14ac:dyDescent="0.25">
      <c r="A110" t="s">
        <v>1638</v>
      </c>
      <c r="B110" s="16" t="s">
        <v>1639</v>
      </c>
      <c r="C110" t="s">
        <v>1490</v>
      </c>
      <c r="D110" t="s">
        <v>1783</v>
      </c>
      <c r="E110" t="s">
        <v>1798</v>
      </c>
      <c r="F110" t="s">
        <v>1795</v>
      </c>
      <c r="I110" t="s">
        <v>340</v>
      </c>
      <c r="J110" t="s">
        <v>1493</v>
      </c>
      <c r="K110" t="s">
        <v>204</v>
      </c>
      <c r="L110" t="s">
        <v>1671</v>
      </c>
    </row>
    <row r="111" spans="1:12" x14ac:dyDescent="0.25">
      <c r="A111" t="s">
        <v>834</v>
      </c>
      <c r="B111" s="16" t="s">
        <v>1640</v>
      </c>
      <c r="C111" t="s">
        <v>1490</v>
      </c>
      <c r="D111" t="s">
        <v>1783</v>
      </c>
      <c r="E111" t="s">
        <v>1722</v>
      </c>
      <c r="F111" t="s">
        <v>1792</v>
      </c>
      <c r="I111" t="s">
        <v>247</v>
      </c>
      <c r="J111" t="s">
        <v>979</v>
      </c>
      <c r="K111" t="s">
        <v>204</v>
      </c>
      <c r="L111" t="s">
        <v>1669</v>
      </c>
    </row>
    <row r="112" spans="1:12" x14ac:dyDescent="0.25">
      <c r="A112" t="s">
        <v>1641</v>
      </c>
      <c r="B112" s="16" t="s">
        <v>1642</v>
      </c>
      <c r="C112" t="s">
        <v>1490</v>
      </c>
      <c r="D112" t="s">
        <v>1783</v>
      </c>
      <c r="E112" t="s">
        <v>1744</v>
      </c>
      <c r="I112" t="s">
        <v>1000</v>
      </c>
      <c r="J112" t="s">
        <v>204</v>
      </c>
      <c r="K112" t="s">
        <v>1641</v>
      </c>
      <c r="L112" t="s">
        <v>1491</v>
      </c>
    </row>
    <row r="113" spans="1:12" x14ac:dyDescent="0.25">
      <c r="A113" t="s">
        <v>1601</v>
      </c>
      <c r="B113" s="16" t="s">
        <v>1644</v>
      </c>
      <c r="C113" t="s">
        <v>1490</v>
      </c>
      <c r="D113" t="s">
        <v>1783</v>
      </c>
      <c r="I113" t="s">
        <v>204</v>
      </c>
      <c r="J113" t="s">
        <v>204</v>
      </c>
      <c r="K113" t="s">
        <v>1491</v>
      </c>
      <c r="L113" t="s">
        <v>1491</v>
      </c>
    </row>
    <row r="114" spans="1:12" x14ac:dyDescent="0.25">
      <c r="A114" t="s">
        <v>1532</v>
      </c>
      <c r="B114" s="16" t="s">
        <v>1645</v>
      </c>
      <c r="C114" t="s">
        <v>1490</v>
      </c>
      <c r="D114" t="s">
        <v>1783</v>
      </c>
      <c r="E114" t="s">
        <v>1794</v>
      </c>
      <c r="I114" t="s">
        <v>1238</v>
      </c>
      <c r="J114" t="s">
        <v>204</v>
      </c>
      <c r="K114" t="s">
        <v>1137</v>
      </c>
      <c r="L114" t="s">
        <v>1491</v>
      </c>
    </row>
    <row r="115" spans="1:12" x14ac:dyDescent="0.25">
      <c r="A115" t="s">
        <v>1137</v>
      </c>
      <c r="B115" s="16" t="s">
        <v>1646</v>
      </c>
      <c r="C115" t="s">
        <v>1490</v>
      </c>
      <c r="D115" t="s">
        <v>1783</v>
      </c>
      <c r="E115" t="s">
        <v>1546</v>
      </c>
      <c r="F115" t="s">
        <v>1788</v>
      </c>
      <c r="I115" t="s">
        <v>1177</v>
      </c>
      <c r="J115" t="s">
        <v>1507</v>
      </c>
      <c r="K115" t="s">
        <v>204</v>
      </c>
      <c r="L115" t="s">
        <v>694</v>
      </c>
    </row>
    <row r="116" spans="1:12" x14ac:dyDescent="0.25">
      <c r="A116" t="s">
        <v>302</v>
      </c>
      <c r="B116" s="16" t="s">
        <v>1647</v>
      </c>
      <c r="C116" t="s">
        <v>1490</v>
      </c>
      <c r="D116" t="s">
        <v>1783</v>
      </c>
      <c r="I116" t="s">
        <v>204</v>
      </c>
      <c r="J116" t="s">
        <v>204</v>
      </c>
      <c r="K116" t="s">
        <v>1491</v>
      </c>
      <c r="L116" t="s">
        <v>1491</v>
      </c>
    </row>
    <row r="117" spans="1:12" x14ac:dyDescent="0.25">
      <c r="A117" t="s">
        <v>1106</v>
      </c>
      <c r="B117" s="16" t="s">
        <v>1648</v>
      </c>
      <c r="C117" t="s">
        <v>1490</v>
      </c>
      <c r="D117" t="s">
        <v>1783</v>
      </c>
      <c r="E117" t="s">
        <v>1794</v>
      </c>
      <c r="I117" t="s">
        <v>1238</v>
      </c>
      <c r="J117" t="s">
        <v>204</v>
      </c>
      <c r="K117" t="s">
        <v>1137</v>
      </c>
      <c r="L117" t="s">
        <v>1491</v>
      </c>
    </row>
    <row r="118" spans="1:12" x14ac:dyDescent="0.25">
      <c r="A118" t="s">
        <v>1507</v>
      </c>
      <c r="B118" s="16" t="s">
        <v>1649</v>
      </c>
      <c r="C118" t="s">
        <v>1490</v>
      </c>
      <c r="D118" t="s">
        <v>1783</v>
      </c>
      <c r="F118" t="s">
        <v>1796</v>
      </c>
      <c r="I118" t="s">
        <v>204</v>
      </c>
      <c r="J118" t="s">
        <v>1585</v>
      </c>
      <c r="K118" t="s">
        <v>1597</v>
      </c>
      <c r="L118" t="s">
        <v>1491</v>
      </c>
    </row>
    <row r="119" spans="1:12" x14ac:dyDescent="0.25">
      <c r="A119" t="s">
        <v>220</v>
      </c>
      <c r="B119" s="16" t="s">
        <v>1650</v>
      </c>
      <c r="C119" t="s">
        <v>1490</v>
      </c>
      <c r="D119" t="s">
        <v>1783</v>
      </c>
      <c r="E119" t="s">
        <v>1787</v>
      </c>
      <c r="I119" t="s">
        <v>1313</v>
      </c>
      <c r="J119" t="s">
        <v>204</v>
      </c>
      <c r="K119" t="s">
        <v>1620</v>
      </c>
      <c r="L119" t="s">
        <v>1491</v>
      </c>
    </row>
    <row r="120" spans="1:12" x14ac:dyDescent="0.25">
      <c r="A120" t="s">
        <v>987</v>
      </c>
      <c r="B120" s="16" t="s">
        <v>1651</v>
      </c>
      <c r="C120" t="s">
        <v>1490</v>
      </c>
      <c r="D120" t="s">
        <v>1783</v>
      </c>
      <c r="I120" t="s">
        <v>204</v>
      </c>
      <c r="J120" t="s">
        <v>204</v>
      </c>
      <c r="K120" t="s">
        <v>1491</v>
      </c>
      <c r="L120" t="s">
        <v>1491</v>
      </c>
    </row>
    <row r="121" spans="1:12" x14ac:dyDescent="0.25">
      <c r="A121" t="s">
        <v>1653</v>
      </c>
      <c r="B121" s="16" t="s">
        <v>1654</v>
      </c>
      <c r="C121" t="s">
        <v>1490</v>
      </c>
      <c r="D121" t="s">
        <v>1783</v>
      </c>
      <c r="I121" t="s">
        <v>204</v>
      </c>
      <c r="J121" t="s">
        <v>204</v>
      </c>
      <c r="K121" t="s">
        <v>1491</v>
      </c>
      <c r="L121" t="s">
        <v>1491</v>
      </c>
    </row>
    <row r="122" spans="1:12" x14ac:dyDescent="0.25">
      <c r="A122" t="s">
        <v>429</v>
      </c>
      <c r="B122" s="16" t="s">
        <v>1655</v>
      </c>
      <c r="C122" t="s">
        <v>1490</v>
      </c>
      <c r="D122" t="s">
        <v>1783</v>
      </c>
      <c r="I122" t="s">
        <v>204</v>
      </c>
      <c r="J122" t="s">
        <v>204</v>
      </c>
      <c r="K122" t="s">
        <v>1491</v>
      </c>
      <c r="L122" t="s">
        <v>1491</v>
      </c>
    </row>
    <row r="123" spans="1:12" x14ac:dyDescent="0.25">
      <c r="A123" t="s">
        <v>1538</v>
      </c>
      <c r="B123" s="16" t="s">
        <v>1656</v>
      </c>
      <c r="C123" t="s">
        <v>1490</v>
      </c>
      <c r="D123" t="s">
        <v>1783</v>
      </c>
      <c r="I123" t="s">
        <v>204</v>
      </c>
      <c r="J123" t="s">
        <v>204</v>
      </c>
      <c r="K123" t="s">
        <v>1491</v>
      </c>
      <c r="L123" t="s">
        <v>1491</v>
      </c>
    </row>
    <row r="124" spans="1:12" x14ac:dyDescent="0.25">
      <c r="A124" t="s">
        <v>1544</v>
      </c>
      <c r="B124" s="16" t="s">
        <v>1657</v>
      </c>
      <c r="C124" t="s">
        <v>1490</v>
      </c>
      <c r="D124" t="s">
        <v>1783</v>
      </c>
      <c r="I124" t="s">
        <v>204</v>
      </c>
      <c r="J124" t="s">
        <v>204</v>
      </c>
      <c r="K124" t="s">
        <v>1491</v>
      </c>
      <c r="L124" t="s">
        <v>1491</v>
      </c>
    </row>
    <row r="125" spans="1:12" x14ac:dyDescent="0.25">
      <c r="A125" t="s">
        <v>1658</v>
      </c>
      <c r="B125" s="16" t="s">
        <v>1659</v>
      </c>
      <c r="C125" t="s">
        <v>1490</v>
      </c>
      <c r="D125" t="s">
        <v>1783</v>
      </c>
      <c r="I125" t="s">
        <v>204</v>
      </c>
      <c r="J125" t="s">
        <v>204</v>
      </c>
      <c r="K125" t="s">
        <v>1491</v>
      </c>
      <c r="L125" t="s">
        <v>1491</v>
      </c>
    </row>
    <row r="126" spans="1:12" x14ac:dyDescent="0.25">
      <c r="A126" t="s">
        <v>1660</v>
      </c>
      <c r="B126" s="16" t="s">
        <v>1661</v>
      </c>
      <c r="C126" t="s">
        <v>1490</v>
      </c>
      <c r="D126" t="s">
        <v>1783</v>
      </c>
      <c r="I126" t="s">
        <v>204</v>
      </c>
      <c r="J126" t="s">
        <v>204</v>
      </c>
      <c r="K126" t="s">
        <v>1491</v>
      </c>
      <c r="L126" t="s">
        <v>1491</v>
      </c>
    </row>
    <row r="127" spans="1:12" x14ac:dyDescent="0.25">
      <c r="A127" t="s">
        <v>1662</v>
      </c>
      <c r="B127" s="16" t="s">
        <v>1663</v>
      </c>
      <c r="C127" t="s">
        <v>1490</v>
      </c>
      <c r="D127" t="s">
        <v>1783</v>
      </c>
      <c r="E127" t="s">
        <v>1795</v>
      </c>
      <c r="F127" t="s">
        <v>1795</v>
      </c>
      <c r="I127" t="s">
        <v>1494</v>
      </c>
      <c r="J127" t="s">
        <v>1493</v>
      </c>
      <c r="K127" t="s">
        <v>204</v>
      </c>
      <c r="L127" t="s">
        <v>1491</v>
      </c>
    </row>
    <row r="128" spans="1:12" x14ac:dyDescent="0.25">
      <c r="A128" t="s">
        <v>1664</v>
      </c>
      <c r="B128" s="16" t="s">
        <v>1665</v>
      </c>
      <c r="C128" t="s">
        <v>1490</v>
      </c>
      <c r="D128" t="s">
        <v>1783</v>
      </c>
      <c r="I128" t="s">
        <v>204</v>
      </c>
      <c r="J128" t="s">
        <v>204</v>
      </c>
      <c r="K128" t="s">
        <v>1491</v>
      </c>
      <c r="L128" t="s">
        <v>1491</v>
      </c>
    </row>
    <row r="129" spans="1:12" x14ac:dyDescent="0.25">
      <c r="A129" t="s">
        <v>1649</v>
      </c>
      <c r="B129" s="16" t="s">
        <v>1666</v>
      </c>
      <c r="C129" t="s">
        <v>1490</v>
      </c>
      <c r="D129" t="s">
        <v>1783</v>
      </c>
      <c r="I129" t="s">
        <v>204</v>
      </c>
      <c r="J129" t="s">
        <v>204</v>
      </c>
      <c r="K129" t="s">
        <v>1491</v>
      </c>
      <c r="L129" t="s">
        <v>1491</v>
      </c>
    </row>
    <row r="130" spans="1:12" x14ac:dyDescent="0.25">
      <c r="A130" t="s">
        <v>1667</v>
      </c>
      <c r="B130" s="16" t="s">
        <v>1668</v>
      </c>
      <c r="C130" t="s">
        <v>1490</v>
      </c>
      <c r="D130" t="s">
        <v>1783</v>
      </c>
      <c r="I130" t="s">
        <v>204</v>
      </c>
      <c r="J130" t="s">
        <v>204</v>
      </c>
      <c r="K130" t="s">
        <v>1491</v>
      </c>
      <c r="L130" t="s">
        <v>1491</v>
      </c>
    </row>
    <row r="131" spans="1:12" x14ac:dyDescent="0.25">
      <c r="A131" t="s">
        <v>1669</v>
      </c>
      <c r="B131" s="16" t="s">
        <v>1670</v>
      </c>
      <c r="C131" t="s">
        <v>1490</v>
      </c>
      <c r="D131" t="s">
        <v>1783</v>
      </c>
      <c r="I131" t="s">
        <v>204</v>
      </c>
      <c r="J131" t="s">
        <v>204</v>
      </c>
      <c r="K131" t="s">
        <v>1491</v>
      </c>
      <c r="L131" t="s">
        <v>1491</v>
      </c>
    </row>
    <row r="132" spans="1:12" x14ac:dyDescent="0.25">
      <c r="A132" t="s">
        <v>1616</v>
      </c>
      <c r="B132" s="16" t="s">
        <v>1671</v>
      </c>
      <c r="C132" t="s">
        <v>1490</v>
      </c>
      <c r="D132" t="s">
        <v>1783</v>
      </c>
      <c r="I132" t="s">
        <v>204</v>
      </c>
      <c r="J132" t="s">
        <v>204</v>
      </c>
      <c r="K132" t="s">
        <v>1491</v>
      </c>
      <c r="L132" t="s">
        <v>1491</v>
      </c>
    </row>
    <row r="133" spans="1:12" x14ac:dyDescent="0.25">
      <c r="A133" t="s">
        <v>1671</v>
      </c>
      <c r="B133" s="16" t="s">
        <v>1672</v>
      </c>
      <c r="C133" t="s">
        <v>1490</v>
      </c>
      <c r="D133" t="s">
        <v>1783</v>
      </c>
      <c r="I133" t="s">
        <v>204</v>
      </c>
      <c r="J133" t="s">
        <v>204</v>
      </c>
      <c r="K133" t="s">
        <v>1491</v>
      </c>
      <c r="L133" t="s">
        <v>1491</v>
      </c>
    </row>
    <row r="134" spans="1:12" x14ac:dyDescent="0.25">
      <c r="A134" t="s">
        <v>1537</v>
      </c>
      <c r="B134" s="16" t="s">
        <v>1673</v>
      </c>
      <c r="C134" t="s">
        <v>1490</v>
      </c>
      <c r="D134" t="s">
        <v>1783</v>
      </c>
      <c r="I134" t="s">
        <v>204</v>
      </c>
      <c r="J134" t="s">
        <v>204</v>
      </c>
      <c r="K134" t="s">
        <v>1491</v>
      </c>
      <c r="L134" t="s">
        <v>1491</v>
      </c>
    </row>
    <row r="135" spans="1:12" x14ac:dyDescent="0.25">
      <c r="A135" t="s">
        <v>383</v>
      </c>
      <c r="B135" s="16" t="s">
        <v>1674</v>
      </c>
      <c r="C135" t="s">
        <v>1490</v>
      </c>
      <c r="D135" t="s">
        <v>1783</v>
      </c>
      <c r="I135" t="s">
        <v>204</v>
      </c>
      <c r="J135" t="s">
        <v>204</v>
      </c>
      <c r="K135" t="s">
        <v>1491</v>
      </c>
      <c r="L135" t="s">
        <v>1491</v>
      </c>
    </row>
    <row r="136" spans="1:12" x14ac:dyDescent="0.25">
      <c r="A136" t="s">
        <v>1675</v>
      </c>
      <c r="B136" s="16" t="s">
        <v>1676</v>
      </c>
      <c r="C136" t="s">
        <v>1490</v>
      </c>
      <c r="D136" t="s">
        <v>1783</v>
      </c>
      <c r="I136" t="s">
        <v>204</v>
      </c>
      <c r="J136" t="s">
        <v>204</v>
      </c>
      <c r="K136" t="s">
        <v>1491</v>
      </c>
      <c r="L136" t="s">
        <v>1491</v>
      </c>
    </row>
    <row r="137" spans="1:12" x14ac:dyDescent="0.25">
      <c r="A137" t="s">
        <v>1677</v>
      </c>
      <c r="B137" s="16" t="s">
        <v>1678</v>
      </c>
      <c r="C137" t="s">
        <v>1490</v>
      </c>
      <c r="D137" t="s">
        <v>1783</v>
      </c>
      <c r="I137" t="s">
        <v>204</v>
      </c>
      <c r="J137" t="s">
        <v>204</v>
      </c>
      <c r="K137" t="s">
        <v>1491</v>
      </c>
      <c r="L137" t="s">
        <v>1491</v>
      </c>
    </row>
    <row r="138" spans="1:12" x14ac:dyDescent="0.25">
      <c r="A138" t="s">
        <v>1252</v>
      </c>
      <c r="B138" s="16" t="s">
        <v>1679</v>
      </c>
      <c r="C138" t="s">
        <v>1490</v>
      </c>
      <c r="D138" t="s">
        <v>1783</v>
      </c>
      <c r="I138" t="s">
        <v>204</v>
      </c>
      <c r="J138" t="s">
        <v>204</v>
      </c>
      <c r="K138" t="s">
        <v>1491</v>
      </c>
      <c r="L138" t="s">
        <v>1491</v>
      </c>
    </row>
    <row r="139" spans="1:12" x14ac:dyDescent="0.25">
      <c r="A139" t="s">
        <v>1680</v>
      </c>
      <c r="B139" s="16" t="s">
        <v>1681</v>
      </c>
      <c r="C139" t="s">
        <v>1490</v>
      </c>
      <c r="D139" t="s">
        <v>1783</v>
      </c>
      <c r="I139" t="s">
        <v>204</v>
      </c>
      <c r="J139" t="s">
        <v>204</v>
      </c>
      <c r="K139" t="s">
        <v>1491</v>
      </c>
      <c r="L139" t="s">
        <v>1491</v>
      </c>
    </row>
    <row r="140" spans="1:12" x14ac:dyDescent="0.25">
      <c r="A140" t="s">
        <v>1683</v>
      </c>
      <c r="B140" s="16" t="s">
        <v>1684</v>
      </c>
      <c r="C140" t="s">
        <v>1490</v>
      </c>
      <c r="D140" t="s">
        <v>1783</v>
      </c>
      <c r="I140" t="s">
        <v>204</v>
      </c>
      <c r="J140" t="s">
        <v>204</v>
      </c>
      <c r="K140" t="s">
        <v>1491</v>
      </c>
      <c r="L140" t="s">
        <v>1491</v>
      </c>
    </row>
    <row r="141" spans="1:12" x14ac:dyDescent="0.25">
      <c r="A141" t="s">
        <v>1685</v>
      </c>
      <c r="B141" s="16" t="s">
        <v>1686</v>
      </c>
      <c r="C141" t="s">
        <v>1490</v>
      </c>
      <c r="D141" t="s">
        <v>1783</v>
      </c>
      <c r="I141" t="s">
        <v>204</v>
      </c>
      <c r="J141" t="s">
        <v>204</v>
      </c>
      <c r="K141" t="s">
        <v>1491</v>
      </c>
      <c r="L141" t="s">
        <v>1491</v>
      </c>
    </row>
    <row r="142" spans="1:12" x14ac:dyDescent="0.25">
      <c r="A142" t="s">
        <v>1030</v>
      </c>
      <c r="B142" s="16" t="s">
        <v>1687</v>
      </c>
      <c r="C142" t="s">
        <v>1490</v>
      </c>
      <c r="D142" t="s">
        <v>1783</v>
      </c>
      <c r="I142" t="s">
        <v>204</v>
      </c>
      <c r="J142" t="s">
        <v>204</v>
      </c>
      <c r="K142" t="s">
        <v>1491</v>
      </c>
      <c r="L142" t="s">
        <v>1491</v>
      </c>
    </row>
    <row r="143" spans="1:12" x14ac:dyDescent="0.25">
      <c r="A143" t="s">
        <v>1518</v>
      </c>
      <c r="B143" s="16" t="s">
        <v>1678</v>
      </c>
      <c r="C143" t="s">
        <v>1490</v>
      </c>
      <c r="D143" t="s">
        <v>1783</v>
      </c>
      <c r="I143" t="s">
        <v>204</v>
      </c>
      <c r="J143" t="s">
        <v>204</v>
      </c>
      <c r="K143" t="s">
        <v>1491</v>
      </c>
      <c r="L143" t="s">
        <v>1491</v>
      </c>
    </row>
    <row r="144" spans="1:12" x14ac:dyDescent="0.25">
      <c r="A144" t="s">
        <v>1561</v>
      </c>
      <c r="B144" s="16" t="s">
        <v>1688</v>
      </c>
      <c r="C144" t="s">
        <v>1490</v>
      </c>
      <c r="D144" t="s">
        <v>1783</v>
      </c>
      <c r="I144" t="s">
        <v>204</v>
      </c>
      <c r="J144" t="s">
        <v>204</v>
      </c>
      <c r="K144" t="s">
        <v>1491</v>
      </c>
      <c r="L144" t="s">
        <v>1491</v>
      </c>
    </row>
    <row r="145" spans="1:12" x14ac:dyDescent="0.25">
      <c r="A145" t="s">
        <v>1515</v>
      </c>
      <c r="B145" s="16" t="s">
        <v>1689</v>
      </c>
      <c r="C145" t="s">
        <v>1490</v>
      </c>
      <c r="D145" t="s">
        <v>1783</v>
      </c>
      <c r="I145" t="s">
        <v>204</v>
      </c>
      <c r="J145" t="s">
        <v>204</v>
      </c>
      <c r="K145" t="s">
        <v>1491</v>
      </c>
      <c r="L145" t="s">
        <v>1491</v>
      </c>
    </row>
    <row r="146" spans="1:12" x14ac:dyDescent="0.25">
      <c r="A146" t="s">
        <v>1517</v>
      </c>
      <c r="B146" s="16" t="s">
        <v>1690</v>
      </c>
      <c r="C146" t="s">
        <v>1490</v>
      </c>
      <c r="D146" t="s">
        <v>1783</v>
      </c>
      <c r="I146" t="s">
        <v>204</v>
      </c>
      <c r="J146" t="s">
        <v>204</v>
      </c>
      <c r="K146" t="s">
        <v>1491</v>
      </c>
      <c r="L146" t="s">
        <v>1491</v>
      </c>
    </row>
    <row r="147" spans="1:12" x14ac:dyDescent="0.25">
      <c r="A147" t="s">
        <v>1691</v>
      </c>
      <c r="B147" s="16" t="s">
        <v>1691</v>
      </c>
      <c r="C147" t="s">
        <v>1490</v>
      </c>
      <c r="D147" t="s">
        <v>1783</v>
      </c>
      <c r="E147" t="s">
        <v>1619</v>
      </c>
      <c r="I147" t="s">
        <v>204</v>
      </c>
      <c r="J147" t="s">
        <v>204</v>
      </c>
      <c r="K147" t="s">
        <v>1491</v>
      </c>
      <c r="L147" t="s">
        <v>1491</v>
      </c>
    </row>
    <row r="148" spans="1:12" x14ac:dyDescent="0.25">
      <c r="A148" t="s">
        <v>1692</v>
      </c>
      <c r="B148" s="16" t="s">
        <v>1693</v>
      </c>
      <c r="C148" t="s">
        <v>1490</v>
      </c>
      <c r="D148" t="s">
        <v>1783</v>
      </c>
      <c r="I148" t="s">
        <v>204</v>
      </c>
      <c r="J148" t="s">
        <v>204</v>
      </c>
      <c r="K148" t="s">
        <v>1491</v>
      </c>
      <c r="L148" t="s">
        <v>1491</v>
      </c>
    </row>
    <row r="149" spans="1:12" x14ac:dyDescent="0.25">
      <c r="A149" t="s">
        <v>1694</v>
      </c>
      <c r="B149" s="16" t="s">
        <v>1695</v>
      </c>
      <c r="C149" t="s">
        <v>1490</v>
      </c>
      <c r="D149" t="s">
        <v>1783</v>
      </c>
      <c r="E149" t="s">
        <v>1546</v>
      </c>
      <c r="I149" t="s">
        <v>1177</v>
      </c>
      <c r="J149" t="s">
        <v>204</v>
      </c>
      <c r="K149" t="s">
        <v>220</v>
      </c>
      <c r="L149" t="s">
        <v>1491</v>
      </c>
    </row>
    <row r="150" spans="1:12" x14ac:dyDescent="0.25">
      <c r="A150" t="s">
        <v>1128</v>
      </c>
      <c r="B150" s="16" t="s">
        <v>1696</v>
      </c>
      <c r="C150" t="s">
        <v>1490</v>
      </c>
      <c r="D150" t="s">
        <v>1783</v>
      </c>
      <c r="E150" t="s">
        <v>1798</v>
      </c>
      <c r="F150" t="s">
        <v>1795</v>
      </c>
      <c r="I150" t="s">
        <v>340</v>
      </c>
      <c r="J150" t="s">
        <v>1493</v>
      </c>
      <c r="K150" t="s">
        <v>204</v>
      </c>
      <c r="L150" t="s">
        <v>1671</v>
      </c>
    </row>
    <row r="151" spans="1:12" x14ac:dyDescent="0.25">
      <c r="A151" t="s">
        <v>1697</v>
      </c>
      <c r="B151" s="16" t="s">
        <v>1660</v>
      </c>
      <c r="C151" t="s">
        <v>1490</v>
      </c>
      <c r="D151" t="s">
        <v>1783</v>
      </c>
      <c r="I151" t="s">
        <v>204</v>
      </c>
      <c r="J151" t="s">
        <v>204</v>
      </c>
      <c r="K151" t="s">
        <v>1491</v>
      </c>
      <c r="L151" t="s">
        <v>1491</v>
      </c>
    </row>
    <row r="152" spans="1:12" x14ac:dyDescent="0.25">
      <c r="A152" t="s">
        <v>1698</v>
      </c>
      <c r="B152" s="16" t="s">
        <v>1699</v>
      </c>
      <c r="C152" t="s">
        <v>1490</v>
      </c>
      <c r="D152" t="s">
        <v>1783</v>
      </c>
      <c r="I152" t="s">
        <v>204</v>
      </c>
      <c r="J152" t="s">
        <v>204</v>
      </c>
      <c r="K152" t="s">
        <v>1491</v>
      </c>
      <c r="L152" t="s">
        <v>1491</v>
      </c>
    </row>
    <row r="153" spans="1:12" x14ac:dyDescent="0.25">
      <c r="A153" t="s">
        <v>1700</v>
      </c>
      <c r="B153" s="16" t="s">
        <v>1701</v>
      </c>
      <c r="C153" t="s">
        <v>1490</v>
      </c>
      <c r="D153" t="s">
        <v>1783</v>
      </c>
      <c r="I153" t="s">
        <v>204</v>
      </c>
      <c r="J153" t="s">
        <v>204</v>
      </c>
      <c r="K153" t="s">
        <v>1491</v>
      </c>
      <c r="L153" t="s">
        <v>1491</v>
      </c>
    </row>
    <row r="154" spans="1:12" x14ac:dyDescent="0.25">
      <c r="A154" t="s">
        <v>1702</v>
      </c>
      <c r="B154" s="16" t="s">
        <v>1703</v>
      </c>
      <c r="C154" t="s">
        <v>1490</v>
      </c>
      <c r="D154" t="s">
        <v>1783</v>
      </c>
      <c r="I154" t="s">
        <v>204</v>
      </c>
      <c r="J154" t="s">
        <v>204</v>
      </c>
      <c r="K154" t="s">
        <v>1491</v>
      </c>
      <c r="L154" t="s">
        <v>1491</v>
      </c>
    </row>
    <row r="155" spans="1:12" x14ac:dyDescent="0.25">
      <c r="A155" t="s">
        <v>694</v>
      </c>
      <c r="B155" s="16" t="s">
        <v>1704</v>
      </c>
      <c r="C155" t="s">
        <v>1490</v>
      </c>
      <c r="D155" t="s">
        <v>1783</v>
      </c>
      <c r="I155" t="s">
        <v>204</v>
      </c>
      <c r="J155" t="s">
        <v>204</v>
      </c>
      <c r="K155" t="s">
        <v>1491</v>
      </c>
      <c r="L155" t="s">
        <v>1491</v>
      </c>
    </row>
    <row r="156" spans="1:12" x14ac:dyDescent="0.25">
      <c r="A156" t="s">
        <v>1491</v>
      </c>
      <c r="B156" s="16" t="s">
        <v>1705</v>
      </c>
      <c r="C156" t="s">
        <v>1490</v>
      </c>
      <c r="D156" t="s">
        <v>1783</v>
      </c>
      <c r="I156" t="s">
        <v>204</v>
      </c>
      <c r="J156" t="s">
        <v>204</v>
      </c>
      <c r="K156" t="s">
        <v>1491</v>
      </c>
      <c r="L156" t="s">
        <v>1491</v>
      </c>
    </row>
    <row r="157" spans="1:12" x14ac:dyDescent="0.25">
      <c r="A157" t="s">
        <v>1706</v>
      </c>
      <c r="B157" s="16" t="s">
        <v>1707</v>
      </c>
      <c r="C157" t="s">
        <v>1490</v>
      </c>
      <c r="D157" t="s">
        <v>1783</v>
      </c>
      <c r="I157" t="s">
        <v>204</v>
      </c>
      <c r="J157" t="s">
        <v>204</v>
      </c>
      <c r="K157" t="s">
        <v>1491</v>
      </c>
      <c r="L157" t="s">
        <v>1491</v>
      </c>
    </row>
    <row r="158" spans="1:12" x14ac:dyDescent="0.25">
      <c r="A158" t="s">
        <v>1708</v>
      </c>
      <c r="B158" s="16" t="s">
        <v>1709</v>
      </c>
      <c r="C158" t="s">
        <v>1490</v>
      </c>
      <c r="D158" t="s">
        <v>1783</v>
      </c>
      <c r="I158" t="s">
        <v>204</v>
      </c>
      <c r="J158" t="s">
        <v>204</v>
      </c>
      <c r="K158" t="s">
        <v>1491</v>
      </c>
      <c r="L158" t="s">
        <v>1491</v>
      </c>
    </row>
    <row r="159" spans="1:12" x14ac:dyDescent="0.25">
      <c r="A159" t="s">
        <v>1710</v>
      </c>
      <c r="B159" s="16" t="s">
        <v>1711</v>
      </c>
      <c r="C159" t="s">
        <v>1490</v>
      </c>
      <c r="D159" t="s">
        <v>1783</v>
      </c>
      <c r="I159" t="s">
        <v>204</v>
      </c>
      <c r="J159" t="s">
        <v>204</v>
      </c>
      <c r="K159" t="s">
        <v>1491</v>
      </c>
      <c r="L159" t="s">
        <v>1491</v>
      </c>
    </row>
    <row r="160" spans="1:12" x14ac:dyDescent="0.25">
      <c r="A160" t="s">
        <v>1712</v>
      </c>
      <c r="B160" s="16" t="s">
        <v>1713</v>
      </c>
      <c r="C160" t="s">
        <v>1490</v>
      </c>
      <c r="D160" t="s">
        <v>1783</v>
      </c>
      <c r="I160" t="s">
        <v>204</v>
      </c>
      <c r="J160" t="s">
        <v>204</v>
      </c>
      <c r="K160" t="s">
        <v>1491</v>
      </c>
      <c r="L160" t="s">
        <v>1491</v>
      </c>
    </row>
    <row r="161" spans="1:12" x14ac:dyDescent="0.25">
      <c r="A161" t="s">
        <v>1714</v>
      </c>
      <c r="B161" s="16" t="s">
        <v>1715</v>
      </c>
      <c r="C161" t="s">
        <v>1490</v>
      </c>
      <c r="D161" t="s">
        <v>1783</v>
      </c>
      <c r="I161" t="s">
        <v>204</v>
      </c>
      <c r="J161" t="s">
        <v>204</v>
      </c>
      <c r="K161" t="s">
        <v>1491</v>
      </c>
      <c r="L161" t="s">
        <v>1491</v>
      </c>
    </row>
    <row r="162" spans="1:12" x14ac:dyDescent="0.25">
      <c r="A162" t="s">
        <v>1716</v>
      </c>
      <c r="B162" s="16" t="s">
        <v>1653</v>
      </c>
      <c r="C162" t="s">
        <v>1490</v>
      </c>
      <c r="D162" t="s">
        <v>1783</v>
      </c>
      <c r="I162" t="s">
        <v>204</v>
      </c>
      <c r="J162" t="s">
        <v>204</v>
      </c>
      <c r="K162" t="s">
        <v>1491</v>
      </c>
      <c r="L162" t="s">
        <v>1491</v>
      </c>
    </row>
    <row r="163" spans="1:12" x14ac:dyDescent="0.25">
      <c r="A163" t="s">
        <v>1717</v>
      </c>
      <c r="B163" s="16" t="s">
        <v>1718</v>
      </c>
      <c r="C163" t="s">
        <v>1490</v>
      </c>
      <c r="D163" t="s">
        <v>1783</v>
      </c>
      <c r="I163" t="s">
        <v>204</v>
      </c>
      <c r="J163" t="s">
        <v>204</v>
      </c>
      <c r="K163" t="s">
        <v>1491</v>
      </c>
      <c r="L163" t="s">
        <v>1491</v>
      </c>
    </row>
    <row r="164" spans="1:12" x14ac:dyDescent="0.25">
      <c r="A164" t="s">
        <v>1719</v>
      </c>
      <c r="B164" s="16" t="s">
        <v>1634</v>
      </c>
      <c r="C164" t="s">
        <v>1490</v>
      </c>
      <c r="D164" t="s">
        <v>1783</v>
      </c>
      <c r="F164" t="s">
        <v>1799</v>
      </c>
      <c r="I164" t="s">
        <v>204</v>
      </c>
      <c r="J164" t="s">
        <v>1058</v>
      </c>
      <c r="K164" t="s">
        <v>429</v>
      </c>
      <c r="L164" t="s">
        <v>1491</v>
      </c>
    </row>
    <row r="165" spans="1:12" x14ac:dyDescent="0.25">
      <c r="A165" t="s">
        <v>1720</v>
      </c>
      <c r="B165" s="16" t="s">
        <v>1721</v>
      </c>
      <c r="C165" t="s">
        <v>1490</v>
      </c>
      <c r="D165" t="s">
        <v>1783</v>
      </c>
      <c r="I165" t="s">
        <v>204</v>
      </c>
      <c r="J165" t="s">
        <v>204</v>
      </c>
      <c r="K165" t="s">
        <v>1491</v>
      </c>
      <c r="L165" t="s">
        <v>1491</v>
      </c>
    </row>
    <row r="166" spans="1:12" x14ac:dyDescent="0.25">
      <c r="A166" t="s">
        <v>1723</v>
      </c>
      <c r="B166" s="16" t="s">
        <v>1664</v>
      </c>
      <c r="C166" t="s">
        <v>1490</v>
      </c>
      <c r="D166" t="s">
        <v>1783</v>
      </c>
      <c r="I166" t="s">
        <v>204</v>
      </c>
      <c r="J166" t="s">
        <v>204</v>
      </c>
      <c r="K166" t="s">
        <v>1491</v>
      </c>
      <c r="L166" t="s">
        <v>1491</v>
      </c>
    </row>
    <row r="167" spans="1:12" x14ac:dyDescent="0.25">
      <c r="A167" t="s">
        <v>1724</v>
      </c>
      <c r="B167" s="16" t="s">
        <v>1725</v>
      </c>
      <c r="C167" t="s">
        <v>1490</v>
      </c>
      <c r="D167" t="s">
        <v>1783</v>
      </c>
      <c r="I167" t="s">
        <v>204</v>
      </c>
      <c r="J167" t="s">
        <v>204</v>
      </c>
      <c r="K167" t="s">
        <v>1491</v>
      </c>
      <c r="L167" t="s">
        <v>1491</v>
      </c>
    </row>
    <row r="168" spans="1:12" x14ac:dyDescent="0.25">
      <c r="A168" t="s">
        <v>1726</v>
      </c>
      <c r="B168" s="16" t="s">
        <v>1727</v>
      </c>
      <c r="C168" t="s">
        <v>1490</v>
      </c>
      <c r="D168" t="s">
        <v>1783</v>
      </c>
      <c r="E168" t="s">
        <v>1741</v>
      </c>
      <c r="I168" t="s">
        <v>581</v>
      </c>
      <c r="J168" t="s">
        <v>204</v>
      </c>
      <c r="K168" t="s">
        <v>1622</v>
      </c>
      <c r="L168" t="s">
        <v>1491</v>
      </c>
    </row>
    <row r="169" spans="1:12" x14ac:dyDescent="0.25">
      <c r="A169" t="s">
        <v>1728</v>
      </c>
      <c r="B169" s="16" t="s">
        <v>1800</v>
      </c>
      <c r="C169" t="s">
        <v>1490</v>
      </c>
      <c r="D169" t="s">
        <v>1783</v>
      </c>
      <c r="E169" t="s">
        <v>1790</v>
      </c>
      <c r="I169" t="s">
        <v>1585</v>
      </c>
      <c r="J169" t="s">
        <v>204</v>
      </c>
      <c r="K169" t="s">
        <v>1597</v>
      </c>
      <c r="L169" t="s">
        <v>1491</v>
      </c>
    </row>
    <row r="170" spans="1:12" x14ac:dyDescent="0.25">
      <c r="A170" t="s">
        <v>1729</v>
      </c>
      <c r="B170" s="16" t="s">
        <v>1801</v>
      </c>
      <c r="C170" t="s">
        <v>1490</v>
      </c>
      <c r="D170" t="s">
        <v>1783</v>
      </c>
      <c r="I170" t="s">
        <v>204</v>
      </c>
      <c r="J170" t="s">
        <v>204</v>
      </c>
      <c r="K170" t="s">
        <v>1491</v>
      </c>
      <c r="L170" t="s">
        <v>1491</v>
      </c>
    </row>
    <row r="171" spans="1:12" x14ac:dyDescent="0.25">
      <c r="A171" t="s">
        <v>1730</v>
      </c>
      <c r="B171" s="16" t="s">
        <v>1731</v>
      </c>
      <c r="C171" t="s">
        <v>1490</v>
      </c>
      <c r="D171" t="s">
        <v>1783</v>
      </c>
      <c r="I171" t="s">
        <v>204</v>
      </c>
      <c r="J171" t="s">
        <v>204</v>
      </c>
      <c r="K171" t="s">
        <v>1491</v>
      </c>
      <c r="L171" t="s">
        <v>1491</v>
      </c>
    </row>
    <row r="172" spans="1:12" x14ac:dyDescent="0.25">
      <c r="A172" t="s">
        <v>1732</v>
      </c>
      <c r="B172" s="16" t="s">
        <v>1733</v>
      </c>
      <c r="C172" t="s">
        <v>1490</v>
      </c>
      <c r="D172" t="s">
        <v>1783</v>
      </c>
      <c r="E172" t="s">
        <v>1794</v>
      </c>
      <c r="F172" t="s">
        <v>1789</v>
      </c>
      <c r="I172" t="s">
        <v>1238</v>
      </c>
      <c r="J172" t="s">
        <v>1587</v>
      </c>
      <c r="K172" t="s">
        <v>204</v>
      </c>
      <c r="L172" t="s">
        <v>220</v>
      </c>
    </row>
    <row r="173" spans="1:12" x14ac:dyDescent="0.25">
      <c r="A173" t="s">
        <v>1734</v>
      </c>
      <c r="B173" s="16" t="s">
        <v>1735</v>
      </c>
      <c r="C173" t="s">
        <v>1490</v>
      </c>
      <c r="D173" t="s">
        <v>1783</v>
      </c>
      <c r="E173" t="s">
        <v>1531</v>
      </c>
      <c r="I173" t="s">
        <v>113</v>
      </c>
      <c r="J173" t="s">
        <v>204</v>
      </c>
      <c r="K173" t="s">
        <v>1532</v>
      </c>
      <c r="L173" t="s">
        <v>1491</v>
      </c>
    </row>
    <row r="174" spans="1:12" x14ac:dyDescent="0.25">
      <c r="A174" t="s">
        <v>1737</v>
      </c>
      <c r="B174" s="16" t="s">
        <v>1738</v>
      </c>
      <c r="C174" t="s">
        <v>1490</v>
      </c>
      <c r="D174" t="s">
        <v>1783</v>
      </c>
      <c r="E174" t="s">
        <v>1802</v>
      </c>
      <c r="I174" t="s">
        <v>754</v>
      </c>
      <c r="J174" t="s">
        <v>204</v>
      </c>
      <c r="K174" t="s">
        <v>1630</v>
      </c>
      <c r="L174" t="s">
        <v>1491</v>
      </c>
    </row>
    <row r="175" spans="1:12" x14ac:dyDescent="0.25">
      <c r="A175" t="s">
        <v>1739</v>
      </c>
      <c r="B175" s="16" t="s">
        <v>1740</v>
      </c>
      <c r="C175" t="s">
        <v>1490</v>
      </c>
      <c r="D175" t="s">
        <v>1783</v>
      </c>
      <c r="E175" t="s">
        <v>1793</v>
      </c>
      <c r="F175" t="s">
        <v>1795</v>
      </c>
      <c r="I175" t="s">
        <v>158</v>
      </c>
      <c r="J175" t="s">
        <v>1493</v>
      </c>
      <c r="K175" t="s">
        <v>204</v>
      </c>
      <c r="L175" t="s">
        <v>1537</v>
      </c>
    </row>
    <row r="176" spans="1:12" x14ac:dyDescent="0.25">
      <c r="A176" t="s">
        <v>1742</v>
      </c>
      <c r="B176" s="16" t="s">
        <v>1658</v>
      </c>
      <c r="C176" t="s">
        <v>1490</v>
      </c>
      <c r="D176" t="s">
        <v>1783</v>
      </c>
      <c r="E176" t="s">
        <v>1526</v>
      </c>
      <c r="I176" t="s">
        <v>105</v>
      </c>
      <c r="J176" t="s">
        <v>204</v>
      </c>
      <c r="K176" t="s">
        <v>1171</v>
      </c>
      <c r="L176" t="s">
        <v>1491</v>
      </c>
    </row>
    <row r="177" spans="1:12" x14ac:dyDescent="0.25">
      <c r="A177" t="s">
        <v>1743</v>
      </c>
      <c r="B177" s="16" t="s">
        <v>1800</v>
      </c>
      <c r="C177" t="s">
        <v>1490</v>
      </c>
      <c r="D177" t="s">
        <v>1783</v>
      </c>
      <c r="E177" t="s">
        <v>1498</v>
      </c>
      <c r="I177" t="s">
        <v>1499</v>
      </c>
      <c r="J177" t="s">
        <v>204</v>
      </c>
      <c r="K177" t="s">
        <v>1500</v>
      </c>
      <c r="L177" t="s">
        <v>1491</v>
      </c>
    </row>
    <row r="178" spans="1:12" x14ac:dyDescent="0.25">
      <c r="A178" t="s">
        <v>1745</v>
      </c>
      <c r="B178" s="16" t="s">
        <v>1746</v>
      </c>
      <c r="C178" t="s">
        <v>1490</v>
      </c>
      <c r="D178" t="s">
        <v>1783</v>
      </c>
      <c r="E178" t="s">
        <v>1803</v>
      </c>
      <c r="F178" t="s">
        <v>1803</v>
      </c>
      <c r="I178" t="s">
        <v>1503</v>
      </c>
      <c r="J178" t="s">
        <v>1502</v>
      </c>
      <c r="K178" t="s">
        <v>204</v>
      </c>
      <c r="L178" t="s">
        <v>1491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FFB66-E95F-4F6E-A20B-0297499DA157}">
  <sheetPr codeName="Sheet4"/>
  <dimension ref="A1:AA86"/>
  <sheetViews>
    <sheetView topLeftCell="C1" zoomScale="95" workbookViewId="0">
      <selection activeCell="V14" sqref="V14"/>
    </sheetView>
  </sheetViews>
  <sheetFormatPr defaultRowHeight="15" x14ac:dyDescent="0.25"/>
  <cols>
    <col min="2" max="2" width="16.85546875" customWidth="1"/>
    <col min="4" max="4" width="21.85546875" customWidth="1"/>
    <col min="6" max="6" width="18" customWidth="1"/>
    <col min="8" max="8" width="16.42578125" customWidth="1"/>
    <col min="10" max="10" width="20.140625" customWidth="1"/>
    <col min="12" max="12" width="26.85546875" customWidth="1"/>
    <col min="14" max="14" width="19.5703125" customWidth="1"/>
    <col min="16" max="16" width="21.7109375" customWidth="1"/>
    <col min="18" max="18" width="17.5703125" customWidth="1"/>
    <col min="24" max="24" width="8.85546875" customWidth="1"/>
    <col min="25" max="25" width="17.28515625" customWidth="1"/>
  </cols>
  <sheetData>
    <row r="1" spans="1:27" x14ac:dyDescent="0.25">
      <c r="A1" cm="1">
        <f t="array" ref="A1:B6">_xlfn._xlws.SORT(_xlfn._xlws.FILTER(Table_prep_details.od[[ID]:[fname]],Table_prep_details.od[ID]&lt;100))</f>
        <v>1</v>
      </c>
      <c r="B1" t="str">
        <v>فادي فارس عبد الاحد</v>
      </c>
      <c r="C1" cm="1">
        <f t="array" ref="C1:D31">_xlfn._xlws.SORT(_xlfn._xlws.FILTER(Table_prep_details.od[[ID]:[fname]],(Table_prep_details.od[ID]&gt;'Main sheet'!R2)*(Table_prep_details.od[ID]&lt;'Main sheet'!R2+100)))</f>
        <v>102</v>
      </c>
      <c r="D1" t="str">
        <v>مينا حربي</v>
      </c>
      <c r="E1" cm="1">
        <f t="array" ref="E1:F47">_xlfn._xlws.SORT(_xlfn._xlws.FILTER(Table_prep_details.od[[ID]:[fname]],(Table_prep_details.od[ID]&gt;'Main sheet'!R3)*(Table_prep_details.od[ID]&lt;'Main sheet'!R3+100)))</f>
        <v>202</v>
      </c>
      <c r="F1" t="str">
        <v>اشرف رافت رفعله</v>
      </c>
      <c r="G1" cm="1">
        <f t="array" ref="G1:H38">_xlfn._xlws.SORT(_xlfn._xlws.FILTER(Table_prep_details.od[[ID]:[fname]],(Table_prep_details.od[ID]&gt;'Main sheet'!R4)*(Table_prep_details.od[ID]&lt;'Main sheet'!R4+100)))</f>
        <v>303</v>
      </c>
      <c r="H1" t="str">
        <v>باهر لطفي قلته</v>
      </c>
      <c r="I1" cm="1">
        <f t="array" ref="I1:J42">_xlfn._xlws.SORT(_xlfn._xlws.FILTER(Table_prep_details.od[[ID]:[fname]],(Table_prep_details.od[ID]&gt;'Main sheet'!R5)*(Table_prep_details.od[ID]&lt;'Main sheet'!R5+100)))</f>
        <v>401</v>
      </c>
      <c r="J1" t="str">
        <v>شنوده حربي نسان حبيب</v>
      </c>
      <c r="K1" cm="1">
        <f t="array" ref="K1:L20">_xlfn._xlws.SORT(_xlfn._xlws.FILTER(Table_prep_details.od[[ID]:[fname]],(Table_prep_details.od[ID]&gt;'Main sheet'!R6)*(Table_prep_details.od[ID]&lt;'Main sheet'!R6+100)))</f>
        <v>502</v>
      </c>
      <c r="L1" t="str">
        <v>رامي ماهر شاكر</v>
      </c>
      <c r="M1" cm="1">
        <f t="array" ref="M1:N14">_xlfn._xlws.SORT(_xlfn._xlws.FILTER(Table_prep_details.od[[ID]:[fname]],(Table_prep_details.od[ID]&gt;'Main sheet'!R7)*(Table_prep_details.od[ID]&lt;'Main sheet'!R7+100)))</f>
        <v>602</v>
      </c>
      <c r="N1" t="str">
        <v>اشرف يوسف حنا</v>
      </c>
      <c r="O1" cm="1">
        <f t="array" ref="O1:P38">_xlfn._xlws.SORT(_xlfn._xlws.FILTER(Table_prep_details.od[[ID]:[fname]],(Table_prep_details.od[ID]&gt;'Main sheet'!R8)*(Table_prep_details.od[ID]&lt;'Main sheet'!R8+100)))</f>
        <v>702</v>
      </c>
      <c r="P1" t="str">
        <v>اسامه رضا باسيلي</v>
      </c>
      <c r="Q1" cm="1">
        <f t="array" ref="Q1:R86">_xlfn._xlws.SORT(_xlfn._xlws.FILTER(Table_prep_details.od[[ID]:[fname]],(Table_prep_details.od[ID]&gt;'Main sheet'!R9)*(Table_prep_details.od[ID]&lt;'Main sheet'!R9+100)))</f>
        <v>802</v>
      </c>
      <c r="R1" t="str">
        <v>كيرلس ناجي صبحي</v>
      </c>
      <c r="Y1" s="2" t="s">
        <v>4</v>
      </c>
      <c r="Z1" cm="1">
        <f t="array" aca="1" ref="Z1" ca="1">INDIRECT(ADDRESS(COUNTA(C1:C100),3))</f>
        <v>141</v>
      </c>
      <c r="AA1" cm="1">
        <f t="array" aca="1" ref="AA1" ca="1">INDIRECT(ADDRESS(COUNTA(_xlfn._xlws.FILTER(C1:INDIRECT(ADDRESS(COUNTA(C1:C100),3)),C1:INDIRECT(ADDRESS(COUNTA(C1:C100),3))&lt;110)),3))</f>
        <v>104</v>
      </c>
    </row>
    <row r="2" spans="1:27" x14ac:dyDescent="0.25">
      <c r="A2">
        <v>2</v>
      </c>
      <c r="B2" t="str">
        <v>ريمون حلمي رضا</v>
      </c>
      <c r="C2">
        <v>103</v>
      </c>
      <c r="D2" t="str">
        <v>ديفيد جون داود مساك</v>
      </c>
      <c r="E2">
        <v>203</v>
      </c>
      <c r="F2" t="str">
        <v>امير سامي بشاي جرجس</v>
      </c>
      <c r="G2">
        <v>304</v>
      </c>
      <c r="H2" t="str">
        <v>بيشوي سامي</v>
      </c>
      <c r="I2">
        <v>402</v>
      </c>
      <c r="J2" t="str">
        <v>بيتر ماهر عبد الملاك</v>
      </c>
      <c r="K2">
        <v>503</v>
      </c>
      <c r="L2" t="str">
        <v>رامي منير ميخائيل</v>
      </c>
      <c r="M2">
        <v>603</v>
      </c>
      <c r="N2" t="str">
        <v>مينا ناجح عزمي</v>
      </c>
      <c r="O2">
        <v>703</v>
      </c>
      <c r="P2" t="str">
        <v>ابانوب مدحت</v>
      </c>
      <c r="Q2">
        <v>803</v>
      </c>
      <c r="R2" t="str">
        <v>اندرو جرجس صبحي</v>
      </c>
      <c r="Y2" s="2" t="s">
        <v>5</v>
      </c>
      <c r="Z2" cm="1">
        <f t="array" aca="1" ref="Z2" ca="1">INDIRECT(ADDRESS(COUNTA(E1:E100),5))</f>
        <v>257</v>
      </c>
      <c r="AA2" cm="1">
        <f t="array" aca="1" ref="AA2" ca="1">INDIRECT(ADDRESS(COUNTA(_xlfn._xlws.FILTER(E1:INDIRECT(ADDRESS(COUNTA(E1:E100),5)),E1:INDIRECT(ADDRESS(COUNTA(E1:E100),5))&lt;210)),5))</f>
        <v>204</v>
      </c>
    </row>
    <row r="3" spans="1:27" x14ac:dyDescent="0.25">
      <c r="A3">
        <v>3</v>
      </c>
      <c r="B3" t="str">
        <v>كيرلس مدحت سمير</v>
      </c>
      <c r="C3">
        <v>104</v>
      </c>
      <c r="D3" t="str">
        <v>كيرلس مجدي شاكر</v>
      </c>
      <c r="E3">
        <v>204</v>
      </c>
      <c r="F3" t="str">
        <v>مرقس صبري وديع</v>
      </c>
      <c r="G3">
        <v>310</v>
      </c>
      <c r="H3" t="str">
        <v xml:space="preserve">ابانوب عماد جابر </v>
      </c>
      <c r="I3">
        <v>403</v>
      </c>
      <c r="J3" t="str">
        <v>مارين ماجد عادل قدسي</v>
      </c>
      <c r="K3">
        <v>504</v>
      </c>
      <c r="L3" t="str">
        <v>مينا اسعد نصيف</v>
      </c>
      <c r="M3">
        <v>610</v>
      </c>
      <c r="N3" t="str">
        <v>فادي عماد موسى</v>
      </c>
      <c r="O3">
        <v>710</v>
      </c>
      <c r="P3" t="str">
        <v xml:space="preserve">ابانوب إيهاب سعد </v>
      </c>
      <c r="Q3">
        <v>810</v>
      </c>
      <c r="R3" t="str">
        <v xml:space="preserve">ابانوب اشرف جابر </v>
      </c>
      <c r="Y3" s="2" t="s">
        <v>6</v>
      </c>
      <c r="Z3" cm="1">
        <f t="array" aca="1" ref="Z3" ca="1">INDIRECT(ADDRESS(COUNTA(G1:G100),7))</f>
        <v>351</v>
      </c>
      <c r="AA3" cm="1">
        <f t="array" aca="1" ref="AA3" ca="1">INDIRECT(ADDRESS(COUNTA(_xlfn._xlws.FILTER(G1:INDIRECT(ADDRESS(COUNTA(G1:G100),7)),G1:INDIRECT(ADDRESS(COUNTA(G1:G100),7))&lt;310)),7))</f>
        <v>304</v>
      </c>
    </row>
    <row r="4" spans="1:27" x14ac:dyDescent="0.25">
      <c r="A4">
        <v>4</v>
      </c>
      <c r="B4" t="str">
        <v>جرجس نصحي حليم</v>
      </c>
      <c r="C4">
        <v>113</v>
      </c>
      <c r="D4" t="str">
        <v>اوليفر مجدي سمير</v>
      </c>
      <c r="E4">
        <v>210</v>
      </c>
      <c r="F4" t="str">
        <v xml:space="preserve">ابرام جرجس سعيد </v>
      </c>
      <c r="G4">
        <v>311</v>
      </c>
      <c r="H4" t="str">
        <v xml:space="preserve">ابرام ماجد جميل </v>
      </c>
      <c r="I4">
        <v>404</v>
      </c>
      <c r="J4" t="str">
        <v>وجيه جورج</v>
      </c>
      <c r="K4">
        <v>510</v>
      </c>
      <c r="L4" t="str">
        <v xml:space="preserve">البرت امير سليمان </v>
      </c>
      <c r="M4">
        <v>611</v>
      </c>
      <c r="N4" t="str">
        <v>رضا صبحي ايوب</v>
      </c>
      <c r="O4">
        <v>711</v>
      </c>
      <c r="P4" t="str">
        <v>افرايم خليل</v>
      </c>
      <c r="Q4">
        <v>811</v>
      </c>
      <c r="R4" t="str">
        <v xml:space="preserve">ارساني جرجس نعيم </v>
      </c>
      <c r="Y4" s="2" t="s">
        <v>7</v>
      </c>
      <c r="Z4" cm="1">
        <f t="array" aca="1" ref="Z4" ca="1">INDIRECT(ADDRESS(COUNTA(I1:I100),9))</f>
        <v>451</v>
      </c>
      <c r="AA4" cm="1">
        <f t="array" aca="1" ref="AA4" ca="1">INDIRECT(ADDRESS(COUNTA(_xlfn._xlws.FILTER(I1:INDIRECT(ADDRESS(COUNTA(I1:I100),9)),I1:INDIRECT(ADDRESS(COUNTA(I1:I100),9))&lt;410)),9))</f>
        <v>404</v>
      </c>
    </row>
    <row r="5" spans="1:27" x14ac:dyDescent="0.25">
      <c r="A5">
        <v>5</v>
      </c>
      <c r="B5" t="str">
        <v>ماهر تادرس نجيب</v>
      </c>
      <c r="C5">
        <v>114</v>
      </c>
      <c r="D5" t="str">
        <v>بافلي جورج منير</v>
      </c>
      <c r="E5">
        <v>211</v>
      </c>
      <c r="F5" t="str">
        <v>امير عادل جرجس حنا</v>
      </c>
      <c r="G5">
        <v>312</v>
      </c>
      <c r="H5" t="str">
        <v xml:space="preserve">ابرام ممدوح كميل </v>
      </c>
      <c r="I5">
        <v>410</v>
      </c>
      <c r="J5" t="str">
        <v xml:space="preserve">ابرام جرجس تادرس </v>
      </c>
      <c r="K5">
        <v>512</v>
      </c>
      <c r="L5" t="str">
        <v xml:space="preserve">بولا تادرس حكيم </v>
      </c>
      <c r="M5">
        <v>612</v>
      </c>
      <c r="N5" t="str">
        <v>كيرلس صبحي ايوب</v>
      </c>
      <c r="O5">
        <v>712</v>
      </c>
      <c r="P5" t="str">
        <v>ابانوب شنودة اسحق</v>
      </c>
      <c r="Q5">
        <v>813</v>
      </c>
      <c r="R5" t="str">
        <v xml:space="preserve">انطونيوس يونان بولس </v>
      </c>
      <c r="Y5" s="2" t="s">
        <v>8</v>
      </c>
      <c r="Z5" cm="1">
        <f t="array" aca="1" ref="Z5" ca="1">INDIRECT(ADDRESS(COUNTA(K1:K100),11))</f>
        <v>533</v>
      </c>
      <c r="AA5" cm="1">
        <f t="array" aca="1" ref="AA5" ca="1">INDIRECT(ADDRESS(COUNTA(_xlfn._xlws.FILTER(K1:INDIRECT(ADDRESS(COUNTA(K1:K100),11)),K1:INDIRECT(ADDRESS(COUNTA(K1:K100),11))&lt;510)),11))</f>
        <v>504</v>
      </c>
    </row>
    <row r="6" spans="1:27" x14ac:dyDescent="0.25">
      <c r="A6">
        <v>6</v>
      </c>
      <c r="B6" t="str">
        <v>مايكل زكي عزمي</v>
      </c>
      <c r="C6">
        <v>115</v>
      </c>
      <c r="D6" t="str">
        <v>بافلي سامر سمير</v>
      </c>
      <c r="E6">
        <v>212</v>
      </c>
      <c r="F6" t="str">
        <v>باتريك اشرف</v>
      </c>
      <c r="G6">
        <v>313</v>
      </c>
      <c r="H6" t="str">
        <v xml:space="preserve">اشرف شنودة عاطف </v>
      </c>
      <c r="I6">
        <v>411</v>
      </c>
      <c r="J6" t="str">
        <v xml:space="preserve">انطوان سامح فوزي </v>
      </c>
      <c r="K6">
        <v>513</v>
      </c>
      <c r="L6" t="str">
        <v xml:space="preserve">جرجس موريس ادور </v>
      </c>
      <c r="M6">
        <v>613</v>
      </c>
      <c r="N6" t="str">
        <v xml:space="preserve">مينا عنتر عماد </v>
      </c>
      <c r="O6">
        <v>713</v>
      </c>
      <c r="P6" t="str">
        <v xml:space="preserve">ارساني عماد يوسف </v>
      </c>
      <c r="Q6">
        <v>814</v>
      </c>
      <c r="R6" t="str">
        <v xml:space="preserve">باسم ايمن انور </v>
      </c>
      <c r="Y6" s="2" t="s">
        <v>9</v>
      </c>
      <c r="Z6" cm="1">
        <f t="array" aca="1" ref="Z6" ca="1">INDIRECT(ADDRESS(COUNTA(M1:M100),13))</f>
        <v>621</v>
      </c>
      <c r="AA6" cm="1">
        <f t="array" aca="1" ref="AA6" ca="1">INDIRECT(ADDRESS(COUNTA(_xlfn._xlws.FILTER(M1:INDIRECT(ADDRESS(COUNTA(M1:M100),13)),M1:INDIRECT(ADDRESS(COUNTA(M1:M100),13))&lt;610)),13))</f>
        <v>603</v>
      </c>
    </row>
    <row r="7" spans="1:27" x14ac:dyDescent="0.25">
      <c r="C7">
        <v>116</v>
      </c>
      <c r="D7" t="str">
        <v>بولا بيشوي جمال</v>
      </c>
      <c r="E7">
        <v>214</v>
      </c>
      <c r="F7" t="str">
        <v xml:space="preserve">بولا هاني جرجس </v>
      </c>
      <c r="G7">
        <v>314</v>
      </c>
      <c r="H7" t="str">
        <v>امير وحيد زكي</v>
      </c>
      <c r="I7">
        <v>412</v>
      </c>
      <c r="J7" t="str">
        <v xml:space="preserve">ايمن محسن اسحق </v>
      </c>
      <c r="K7">
        <v>514</v>
      </c>
      <c r="L7" t="str">
        <v>جورج عماد تادرس لبيب</v>
      </c>
      <c r="M7">
        <v>614</v>
      </c>
      <c r="N7" t="str">
        <v>ايميل رضا عزيز</v>
      </c>
      <c r="O7">
        <v>714</v>
      </c>
      <c r="P7" t="str">
        <v>انطونيوس فوزي جرجس</v>
      </c>
      <c r="Q7">
        <v>815</v>
      </c>
      <c r="R7" t="str">
        <v xml:space="preserve">بافلي بطرس اليشع </v>
      </c>
      <c r="Y7" s="2" t="s">
        <v>10</v>
      </c>
      <c r="Z7" cm="1">
        <f t="array" aca="1" ref="Z7" ca="1">INDIRECT(ADDRESS(COUNTA(O1:O100),15))</f>
        <v>746</v>
      </c>
      <c r="AA7" cm="1">
        <f t="array" aca="1" ref="AA7" ca="1">INDIRECT(ADDRESS(COUNTA(_xlfn._xlws.FILTER(O1:INDIRECT(ADDRESS(COUNTA(O1:O100),15)),O1:INDIRECT(ADDRESS(COUNTA(O1:O100),15))&lt;710)),15))</f>
        <v>703</v>
      </c>
    </row>
    <row r="8" spans="1:27" x14ac:dyDescent="0.25">
      <c r="C8">
        <v>118</v>
      </c>
      <c r="D8" t="str">
        <v>بولا هاني رزق</v>
      </c>
      <c r="E8">
        <v>215</v>
      </c>
      <c r="F8" t="str">
        <v xml:space="preserve">بيتر روماني اندراوس </v>
      </c>
      <c r="G8">
        <v>315</v>
      </c>
      <c r="H8" t="str">
        <v xml:space="preserve">ايفان اسامة عادل </v>
      </c>
      <c r="I8">
        <v>413</v>
      </c>
      <c r="J8" t="str">
        <v xml:space="preserve">باترك سامح تادرس </v>
      </c>
      <c r="K8">
        <v>515</v>
      </c>
      <c r="L8" t="str">
        <v xml:space="preserve">شارل شريف مكرم </v>
      </c>
      <c r="M8">
        <v>615</v>
      </c>
      <c r="N8" t="str">
        <v>كيرلس باسم فوزي</v>
      </c>
      <c r="O8">
        <v>715</v>
      </c>
      <c r="P8" t="str">
        <v>بافلي عبيد منصور عبدالله</v>
      </c>
      <c r="Q8">
        <v>816</v>
      </c>
      <c r="R8" t="str">
        <v xml:space="preserve">بيتر زكريا زكريا </v>
      </c>
      <c r="Y8" s="1" t="s">
        <v>11</v>
      </c>
      <c r="Z8" cm="1">
        <f t="array" aca="1" ref="Z8" ca="1">INDIRECT(ADDRESS(COUNTA(Q1:Q100),17))</f>
        <v>894</v>
      </c>
      <c r="AA8" cm="1">
        <f t="array" aca="1" ref="AA8" ca="1">INDIRECT(ADDRESS(COUNTA(_xlfn._xlws.FILTER(Q1:INDIRECT(ADDRESS(COUNTA(Q1:Q100),17)),Q1:INDIRECT(ADDRESS(COUNTA(Q1:Q100),17))&lt;810)),17))</f>
        <v>803</v>
      </c>
    </row>
    <row r="9" spans="1:27" x14ac:dyDescent="0.25">
      <c r="C9">
        <v>119</v>
      </c>
      <c r="D9" t="str">
        <v>بيتر باسم قديس</v>
      </c>
      <c r="E9">
        <v>216</v>
      </c>
      <c r="F9" t="str">
        <v xml:space="preserve">بيشوي مجدي ثابت </v>
      </c>
      <c r="G9">
        <v>317</v>
      </c>
      <c r="H9" t="str">
        <v xml:space="preserve">بولا زاخر جرجس </v>
      </c>
      <c r="I9">
        <v>415</v>
      </c>
      <c r="J9" t="str">
        <v xml:space="preserve">بولا سمير عبدالله </v>
      </c>
      <c r="K9">
        <v>516</v>
      </c>
      <c r="L9" t="str">
        <v>فادي ميلاد سمير جرجس</v>
      </c>
      <c r="M9">
        <v>616</v>
      </c>
      <c r="N9" t="str">
        <v>توماس مرزق يوسف</v>
      </c>
      <c r="O9">
        <v>716</v>
      </c>
      <c r="P9" t="str">
        <v>بيتر حنا مملوك</v>
      </c>
      <c r="Q9">
        <v>817</v>
      </c>
      <c r="R9" t="str">
        <v>بيشوي ايمن عبد الروؤف</v>
      </c>
    </row>
    <row r="10" spans="1:27" x14ac:dyDescent="0.25">
      <c r="C10">
        <v>120</v>
      </c>
      <c r="D10" t="str">
        <v>بيتر هاني جرجس</v>
      </c>
      <c r="E10">
        <v>217</v>
      </c>
      <c r="F10" t="str">
        <v xml:space="preserve">بيشوي ميلاد نبيه </v>
      </c>
      <c r="G10">
        <v>318</v>
      </c>
      <c r="H10" t="str">
        <v>بولا ملاك لمعي</v>
      </c>
      <c r="I10">
        <v>416</v>
      </c>
      <c r="J10" t="str">
        <v xml:space="preserve">بولا عادل ابراهيم </v>
      </c>
      <c r="K10">
        <v>519</v>
      </c>
      <c r="L10" t="str">
        <v xml:space="preserve">كيرلس امير عطية </v>
      </c>
      <c r="M10">
        <v>617</v>
      </c>
      <c r="N10" t="str">
        <v>شنودة مرزق يوسف</v>
      </c>
      <c r="O10">
        <v>717</v>
      </c>
      <c r="P10" t="str">
        <v>بيتر سعيد كمال</v>
      </c>
      <c r="Q10">
        <v>818</v>
      </c>
      <c r="R10" t="str">
        <v xml:space="preserve">بيشوي جمال صدقي </v>
      </c>
    </row>
    <row r="11" spans="1:27" x14ac:dyDescent="0.25">
      <c r="C11">
        <v>121</v>
      </c>
      <c r="D11" t="str">
        <v>بيشوي جرجس صابر</v>
      </c>
      <c r="E11">
        <v>218</v>
      </c>
      <c r="F11" t="str">
        <v>توماس ايهاب سمير سامي</v>
      </c>
      <c r="G11">
        <v>319</v>
      </c>
      <c r="H11" t="str">
        <v xml:space="preserve">بيتر ماهر تادرس </v>
      </c>
      <c r="I11">
        <v>417</v>
      </c>
      <c r="J11" t="str">
        <v>بولا عصام عبده كامل</v>
      </c>
      <c r="K11">
        <v>520</v>
      </c>
      <c r="L11" t="str">
        <v xml:space="preserve">كيرلس روماني اسحق </v>
      </c>
      <c r="M11">
        <v>618</v>
      </c>
      <c r="N11" t="str">
        <v>جرجس عماد وليم يوسف</v>
      </c>
      <c r="O11">
        <v>718</v>
      </c>
      <c r="P11" t="str">
        <v>بيشوي جرجس عيد</v>
      </c>
      <c r="Q11">
        <v>819</v>
      </c>
      <c r="R11" t="str">
        <v xml:space="preserve">بيير جوزيف مكرم </v>
      </c>
    </row>
    <row r="12" spans="1:27" x14ac:dyDescent="0.25">
      <c r="C12">
        <v>122</v>
      </c>
      <c r="D12" t="str">
        <v>توماس ايهاب سمير شحاته</v>
      </c>
      <c r="E12">
        <v>219</v>
      </c>
      <c r="F12" t="str">
        <v xml:space="preserve">جاستن محب يوسف </v>
      </c>
      <c r="G12">
        <v>321</v>
      </c>
      <c r="H12" t="str">
        <v xml:space="preserve">توفيلس يوسف القس </v>
      </c>
      <c r="I12">
        <v>419</v>
      </c>
      <c r="J12" t="str">
        <v>جورج عبد المسيح جاد</v>
      </c>
      <c r="K12">
        <v>521</v>
      </c>
      <c r="L12" t="str">
        <v xml:space="preserve">كيرلس سامي شحاته </v>
      </c>
      <c r="M12">
        <v>619</v>
      </c>
      <c r="N12" t="str">
        <v>كريم وائل نبيل</v>
      </c>
      <c r="O12">
        <v>719</v>
      </c>
      <c r="P12" t="str">
        <v>بيشوي ملاك فوزي</v>
      </c>
      <c r="Q12">
        <v>820</v>
      </c>
      <c r="R12" t="str">
        <v xml:space="preserve">جان جرجس فايز </v>
      </c>
    </row>
    <row r="13" spans="1:27" x14ac:dyDescent="0.25">
      <c r="C13">
        <v>123</v>
      </c>
      <c r="D13" t="str">
        <v>جوفاني امير انور روفائيل</v>
      </c>
      <c r="E13">
        <v>220</v>
      </c>
      <c r="F13" t="str">
        <v>جون سوريال</v>
      </c>
      <c r="G13">
        <v>322</v>
      </c>
      <c r="H13" t="str">
        <v>جوفاني شريف يوسف</v>
      </c>
      <c r="I13">
        <v>420</v>
      </c>
      <c r="J13" t="str">
        <v>جوزيف امجد كرم جرجس</v>
      </c>
      <c r="K13">
        <v>523</v>
      </c>
      <c r="L13" t="str">
        <v xml:space="preserve">مارتن نادر جابر </v>
      </c>
      <c r="M13">
        <v>620</v>
      </c>
      <c r="N13" t="str">
        <v>مكاريوس رافت بلامون</v>
      </c>
      <c r="O13">
        <v>720</v>
      </c>
      <c r="P13" t="str">
        <v>بيمن عماد شكري</v>
      </c>
      <c r="Q13">
        <v>821</v>
      </c>
      <c r="R13" t="str">
        <v xml:space="preserve">جورج ريمون جرجس </v>
      </c>
    </row>
    <row r="14" spans="1:27" x14ac:dyDescent="0.25">
      <c r="C14">
        <v>124</v>
      </c>
      <c r="D14" t="str">
        <v>جوليوس جمال سعيد</v>
      </c>
      <c r="E14">
        <v>221</v>
      </c>
      <c r="F14" t="str">
        <v>جوفاني جون يوحنا</v>
      </c>
      <c r="G14">
        <v>323</v>
      </c>
      <c r="H14" t="str">
        <v>جون اسحق سمير</v>
      </c>
      <c r="I14">
        <v>421</v>
      </c>
      <c r="J14" t="str">
        <v xml:space="preserve">جيسون جورج تادروس </v>
      </c>
      <c r="K14">
        <v>524</v>
      </c>
      <c r="L14" t="str">
        <v xml:space="preserve">مارك جاك جميل </v>
      </c>
      <c r="M14">
        <v>621</v>
      </c>
      <c r="N14" t="str">
        <v>يوسف رؤوف موريس</v>
      </c>
      <c r="O14">
        <v>721</v>
      </c>
      <c r="P14" t="str">
        <v>جاستن مجدي ابراهيم توفيق</v>
      </c>
      <c r="Q14">
        <v>822</v>
      </c>
      <c r="R14" t="str">
        <v xml:space="preserve">جون سعد امون </v>
      </c>
    </row>
    <row r="15" spans="1:27" x14ac:dyDescent="0.25">
      <c r="C15">
        <v>125</v>
      </c>
      <c r="D15" t="str">
        <v>ديفيد لطفي تادرس</v>
      </c>
      <c r="E15">
        <v>222</v>
      </c>
      <c r="F15" t="str">
        <v xml:space="preserve">دانيال ماجد جورج </v>
      </c>
      <c r="G15">
        <v>324</v>
      </c>
      <c r="H15" t="str">
        <v xml:space="preserve">ساهر عزيز الفونس </v>
      </c>
      <c r="I15">
        <v>422</v>
      </c>
      <c r="J15" t="str">
        <v>جوفاني صفوت رياض بقطر</v>
      </c>
      <c r="K15">
        <v>525</v>
      </c>
      <c r="L15" t="str">
        <v xml:space="preserve">مارك سامح ابراهيم </v>
      </c>
      <c r="O15">
        <v>722</v>
      </c>
      <c r="P15" t="str">
        <v xml:space="preserve">جون روماني مسعد </v>
      </c>
      <c r="Q15">
        <v>823</v>
      </c>
      <c r="R15" t="str">
        <v xml:space="preserve">جون ناجي نجيب </v>
      </c>
    </row>
    <row r="16" spans="1:27" x14ac:dyDescent="0.25">
      <c r="C16">
        <v>126</v>
      </c>
      <c r="D16" t="str">
        <v>ريمون شفيق سمير</v>
      </c>
      <c r="E16">
        <v>223</v>
      </c>
      <c r="F16" t="str">
        <v xml:space="preserve">ديفيد جمال موريس ‏ </v>
      </c>
      <c r="G16">
        <v>325</v>
      </c>
      <c r="H16" t="str">
        <v xml:space="preserve">سمير سامح سمير </v>
      </c>
      <c r="I16">
        <v>423</v>
      </c>
      <c r="J16" t="str">
        <v>دانيال بيتر رفعت عوض</v>
      </c>
      <c r="K16">
        <v>526</v>
      </c>
      <c r="L16" t="str">
        <v xml:space="preserve">ماركو عادل مرقس </v>
      </c>
      <c r="O16">
        <v>723</v>
      </c>
      <c r="P16" t="str">
        <v xml:space="preserve">جون اميل سعيد </v>
      </c>
      <c r="Q16">
        <v>824</v>
      </c>
      <c r="R16" t="str">
        <v>جوفاني شريف شوقي</v>
      </c>
    </row>
    <row r="17" spans="3:18" x14ac:dyDescent="0.25">
      <c r="C17">
        <v>127</v>
      </c>
      <c r="D17" t="str">
        <v>ستيفن اسحاق عزت</v>
      </c>
      <c r="E17">
        <v>224</v>
      </c>
      <c r="F17" t="str">
        <v>ديفيد رامي مجدي</v>
      </c>
      <c r="G17">
        <v>327</v>
      </c>
      <c r="H17" t="str">
        <v xml:space="preserve">فيلوباتير ميلاد جورج </v>
      </c>
      <c r="I17">
        <v>424</v>
      </c>
      <c r="J17" t="str">
        <v xml:space="preserve">دانيال خليل ميخائيل </v>
      </c>
      <c r="K17">
        <v>528</v>
      </c>
      <c r="L17" t="str">
        <v xml:space="preserve">مينا اسامة نجيب </v>
      </c>
      <c r="O17">
        <v>724</v>
      </c>
      <c r="P17" t="str">
        <v xml:space="preserve">ديفيد جابر بشاره </v>
      </c>
      <c r="Q17">
        <v>825</v>
      </c>
      <c r="R17" t="str">
        <v>دانيال جورج جميل عازر</v>
      </c>
    </row>
    <row r="18" spans="3:18" x14ac:dyDescent="0.25">
      <c r="C18">
        <v>128</v>
      </c>
      <c r="D18" t="str">
        <v>كارلوس شنودة تادرس</v>
      </c>
      <c r="E18">
        <v>225</v>
      </c>
      <c r="F18" t="str">
        <v>ديفيد هاني سمير</v>
      </c>
      <c r="G18">
        <v>328</v>
      </c>
      <c r="H18" t="str">
        <v>فيلوباتير هاني ملاك</v>
      </c>
      <c r="I18">
        <v>426</v>
      </c>
      <c r="J18" t="str">
        <v>ديفيد اشرف كامل وهبه</v>
      </c>
      <c r="K18">
        <v>529</v>
      </c>
      <c r="L18" t="str">
        <v xml:space="preserve">مينا ميلاد نعيم </v>
      </c>
      <c r="O18">
        <v>725</v>
      </c>
      <c r="P18" t="str">
        <v>ريمون باسم عوني نجيب</v>
      </c>
      <c r="Q18">
        <v>826</v>
      </c>
      <c r="R18" t="str">
        <v>ديفيد اشرف عادلي</v>
      </c>
    </row>
    <row r="19" spans="3:18" x14ac:dyDescent="0.25">
      <c r="C19">
        <v>129</v>
      </c>
      <c r="D19" t="str">
        <v>مارك روماني القمص دوماديوس</v>
      </c>
      <c r="E19">
        <v>226</v>
      </c>
      <c r="F19" t="str">
        <v xml:space="preserve">سامر عادل صموئيل </v>
      </c>
      <c r="G19">
        <v>329</v>
      </c>
      <c r="H19" t="str">
        <v>كيرلس جرجس عيسى</v>
      </c>
      <c r="I19">
        <v>427</v>
      </c>
      <c r="J19" t="str">
        <v>ديفيد صبحي صبحي</v>
      </c>
      <c r="K19">
        <v>532</v>
      </c>
      <c r="L19" t="str">
        <v>ارساني عماد وليم</v>
      </c>
      <c r="O19">
        <v>726</v>
      </c>
      <c r="P19" t="str">
        <v>سامح ملاك صابر</v>
      </c>
      <c r="Q19">
        <v>827</v>
      </c>
      <c r="R19" t="str">
        <v xml:space="preserve">ديفيد باسم لمعي </v>
      </c>
    </row>
    <row r="20" spans="3:18" x14ac:dyDescent="0.25">
      <c r="C20">
        <v>130</v>
      </c>
      <c r="D20" t="str">
        <v>مارك وجدي فكري</v>
      </c>
      <c r="E20">
        <v>227</v>
      </c>
      <c r="F20" t="str">
        <v xml:space="preserve">صرابامون جرجس صلاح </v>
      </c>
      <c r="G20">
        <v>330</v>
      </c>
      <c r="H20" t="str">
        <v xml:space="preserve">ماثيو نادر جلال </v>
      </c>
      <c r="I20">
        <v>428</v>
      </c>
      <c r="J20" t="str">
        <v xml:space="preserve">ديفيد عادل تادرس </v>
      </c>
      <c r="K20">
        <v>533</v>
      </c>
      <c r="L20" t="str">
        <v>يوسف القمص يوليوس محروس</v>
      </c>
      <c r="O20">
        <v>727</v>
      </c>
      <c r="P20" t="str">
        <v xml:space="preserve">شادي سامح عطيه </v>
      </c>
      <c r="Q20">
        <v>828</v>
      </c>
      <c r="R20" t="str">
        <v xml:space="preserve">رامز ماهر رمزي </v>
      </c>
    </row>
    <row r="21" spans="3:18" x14ac:dyDescent="0.25">
      <c r="C21">
        <v>131</v>
      </c>
      <c r="D21" t="str">
        <v>ماريو مجدي مكرم</v>
      </c>
      <c r="E21">
        <v>228</v>
      </c>
      <c r="F21" t="str">
        <v xml:space="preserve">فارس ميلاد ساروفيم </v>
      </c>
      <c r="G21">
        <v>333</v>
      </c>
      <c r="H21" t="str">
        <v>مارك ميلاد فكري</v>
      </c>
      <c r="I21">
        <v>429</v>
      </c>
      <c r="J21" t="str">
        <v xml:space="preserve">رزق جميل رزق </v>
      </c>
      <c r="O21">
        <v>728</v>
      </c>
      <c r="P21" t="str">
        <v>فادي روماني بسطا</v>
      </c>
      <c r="Q21">
        <v>829</v>
      </c>
      <c r="R21" t="str">
        <v xml:space="preserve">صموئيل نتعي يعقوب </v>
      </c>
    </row>
    <row r="22" spans="3:18" x14ac:dyDescent="0.25">
      <c r="C22">
        <v>132</v>
      </c>
      <c r="D22" t="str">
        <v>مقار روماني رسلة</v>
      </c>
      <c r="E22">
        <v>229</v>
      </c>
      <c r="F22" t="str">
        <v xml:space="preserve">فيلوباتير روماني برسوم </v>
      </c>
      <c r="G22">
        <v>334</v>
      </c>
      <c r="H22" t="str">
        <v xml:space="preserve">ماريو ماجد مهاود </v>
      </c>
      <c r="I22">
        <v>430</v>
      </c>
      <c r="J22" t="str">
        <v xml:space="preserve">روماني باسم عوض </v>
      </c>
      <c r="O22">
        <v>729</v>
      </c>
      <c r="P22" t="str">
        <v>فادي مينا عاطف</v>
      </c>
      <c r="Q22">
        <v>830</v>
      </c>
      <c r="R22" t="str">
        <v>فادي بشرى نادي</v>
      </c>
    </row>
    <row r="23" spans="3:18" x14ac:dyDescent="0.25">
      <c r="C23">
        <v>133</v>
      </c>
      <c r="D23" t="str">
        <v>ميخائيل جرجس محروس</v>
      </c>
      <c r="E23">
        <v>230</v>
      </c>
      <c r="F23" t="str">
        <v xml:space="preserve">فيلوباتير سامح خليل </v>
      </c>
      <c r="G23">
        <v>336</v>
      </c>
      <c r="H23" t="str">
        <v xml:space="preserve">يوحنا فايز ادوارد </v>
      </c>
      <c r="I23">
        <v>431</v>
      </c>
      <c r="J23" t="str">
        <v>ستيفن عماد عاطف عزيز</v>
      </c>
      <c r="O23">
        <v>730</v>
      </c>
      <c r="P23" t="str">
        <v>فيلوباتير مدحت عاطف</v>
      </c>
      <c r="Q23">
        <v>831</v>
      </c>
      <c r="R23" t="str">
        <v>فادي عاطف صدقي</v>
      </c>
    </row>
    <row r="24" spans="3:18" x14ac:dyDescent="0.25">
      <c r="C24">
        <v>134</v>
      </c>
      <c r="D24" t="str">
        <v>مينا عاطف داوود</v>
      </c>
      <c r="E24">
        <v>231</v>
      </c>
      <c r="F24" t="str">
        <v xml:space="preserve">فيلوباتير نبيل مهاود </v>
      </c>
      <c r="G24">
        <v>337</v>
      </c>
      <c r="H24" t="str">
        <v xml:space="preserve">يوسف نبيل سمير </v>
      </c>
      <c r="I24">
        <v>432</v>
      </c>
      <c r="J24" t="str">
        <v xml:space="preserve">سيلفيو سبت جون </v>
      </c>
      <c r="O24">
        <v>731</v>
      </c>
      <c r="P24" t="str">
        <v>كيرلس مرقس</v>
      </c>
      <c r="Q24">
        <v>832</v>
      </c>
      <c r="R24" t="str">
        <v xml:space="preserve">فادي اشرف جميل </v>
      </c>
    </row>
    <row r="25" spans="3:18" x14ac:dyDescent="0.25">
      <c r="C25">
        <v>135</v>
      </c>
      <c r="D25" t="str">
        <v>مينا وائل منير</v>
      </c>
      <c r="E25">
        <v>232</v>
      </c>
      <c r="F25" t="str">
        <v>فيلوباتير يسري فضلي</v>
      </c>
      <c r="G25">
        <v>338</v>
      </c>
      <c r="H25" t="str">
        <v>ميخائيل القس اسحق قسطور</v>
      </c>
      <c r="I25">
        <v>433</v>
      </c>
      <c r="J25" t="str">
        <v xml:space="preserve">فادي اسامة تادرس </v>
      </c>
      <c r="O25">
        <v>732</v>
      </c>
      <c r="P25" t="str">
        <v>كيفن ماجد ملاك</v>
      </c>
      <c r="Q25">
        <v>833</v>
      </c>
      <c r="R25" t="str">
        <v xml:space="preserve">فادي سعيد نبيه </v>
      </c>
    </row>
    <row r="26" spans="3:18" x14ac:dyDescent="0.25">
      <c r="C26">
        <v>136</v>
      </c>
      <c r="D26" t="str">
        <v>يوليوس بطرس تادرس</v>
      </c>
      <c r="E26">
        <v>234</v>
      </c>
      <c r="F26" t="str">
        <v xml:space="preserve">كيرلس ماجد حلمي </v>
      </c>
      <c r="G26">
        <v>339</v>
      </c>
      <c r="H26" t="str">
        <v>نور لطفي حكيم سيف</v>
      </c>
      <c r="I26">
        <v>434</v>
      </c>
      <c r="J26" t="str">
        <v xml:space="preserve">فادي عماد رفعت </v>
      </c>
      <c r="O26">
        <v>734</v>
      </c>
      <c r="P26" t="str">
        <v xml:space="preserve">مارتن روماني وجيه </v>
      </c>
      <c r="Q26">
        <v>834</v>
      </c>
      <c r="R26" t="str">
        <v xml:space="preserve">فرانك عصام عصام </v>
      </c>
    </row>
    <row r="27" spans="3:18" x14ac:dyDescent="0.25">
      <c r="C27">
        <v>137</v>
      </c>
      <c r="D27" t="str">
        <v>بافلي عماد لمعي توماس</v>
      </c>
      <c r="E27">
        <v>235</v>
      </c>
      <c r="F27" t="str">
        <v xml:space="preserve">كيرلس مجدي سمير </v>
      </c>
      <c r="G27">
        <v>340</v>
      </c>
      <c r="H27" t="str">
        <v>كيفن هاني رضانا</v>
      </c>
      <c r="I27">
        <v>435</v>
      </c>
      <c r="J27" t="str">
        <v xml:space="preserve">فادي هاني صموئيل </v>
      </c>
      <c r="O27">
        <v>735</v>
      </c>
      <c r="P27" t="str">
        <v>مارك منير</v>
      </c>
      <c r="Q27">
        <v>835</v>
      </c>
      <c r="R27" t="str">
        <v xml:space="preserve">كارل مينا عادل </v>
      </c>
    </row>
    <row r="28" spans="3:18" x14ac:dyDescent="0.25">
      <c r="C28">
        <v>138</v>
      </c>
      <c r="D28" t="str">
        <v>كيرلس روماني امين ‏ حبيب</v>
      </c>
      <c r="E28">
        <v>236</v>
      </c>
      <c r="F28" t="str">
        <v>كيرلس نبيل فوزي</v>
      </c>
      <c r="G28">
        <v>341</v>
      </c>
      <c r="H28" t="str">
        <v xml:space="preserve">مارتيروس مدحت مختار </v>
      </c>
      <c r="I28">
        <v>436</v>
      </c>
      <c r="J28" t="str">
        <v xml:space="preserve">فيكتور عاطف وديع </v>
      </c>
      <c r="O28">
        <v>736</v>
      </c>
      <c r="P28" t="str">
        <v>مارك مينا مجدي لبيب</v>
      </c>
      <c r="Q28">
        <v>836</v>
      </c>
      <c r="R28" t="str">
        <v xml:space="preserve">كيرلس رفعت فرنساوي </v>
      </c>
    </row>
    <row r="29" spans="3:18" x14ac:dyDescent="0.25">
      <c r="C29">
        <v>139</v>
      </c>
      <c r="D29" t="str">
        <v xml:space="preserve">انطونيوس باسم وليم </v>
      </c>
      <c r="E29">
        <v>237</v>
      </c>
      <c r="F29" t="str">
        <v xml:space="preserve">ماثيو ماريو الفي </v>
      </c>
      <c r="G29">
        <v>342</v>
      </c>
      <c r="H29" t="str">
        <v>باترك تيسير ادوار</v>
      </c>
      <c r="I29">
        <v>437</v>
      </c>
      <c r="J29" t="str">
        <v xml:space="preserve">فيلوباتير شريف جرجس </v>
      </c>
      <c r="O29">
        <v>737</v>
      </c>
      <c r="P29" t="str">
        <v>مكاريوس محسن سلامة</v>
      </c>
      <c r="Q29">
        <v>837</v>
      </c>
      <c r="R29" t="str">
        <v xml:space="preserve">كيرلس عزت ظريف </v>
      </c>
    </row>
    <row r="30" spans="3:18" x14ac:dyDescent="0.25">
      <c r="C30">
        <v>140</v>
      </c>
      <c r="D30" t="str">
        <v>يوسف سامح جميل</v>
      </c>
      <c r="E30">
        <v>239</v>
      </c>
      <c r="F30" t="str">
        <v xml:space="preserve">مارسيلينو يونان عبد المسيح </v>
      </c>
      <c r="G30">
        <v>343</v>
      </c>
      <c r="H30" t="str">
        <v>بيتر فرنسيس منير فرنسيس</v>
      </c>
      <c r="I30">
        <v>438</v>
      </c>
      <c r="J30" t="str">
        <v xml:space="preserve">فيلوباتير عماد كمال </v>
      </c>
      <c r="O30">
        <v>738</v>
      </c>
      <c r="P30" t="str">
        <v>ميلاد راضي ماهر</v>
      </c>
      <c r="Q30">
        <v>838</v>
      </c>
      <c r="R30" t="str">
        <v>كيرلس عوني رافت</v>
      </c>
    </row>
    <row r="31" spans="3:18" x14ac:dyDescent="0.25">
      <c r="C31">
        <v>141</v>
      </c>
      <c r="D31" t="str">
        <v>جون اشرف فاروق</v>
      </c>
      <c r="E31">
        <v>240</v>
      </c>
      <c r="F31" t="str">
        <v xml:space="preserve">ماركو اشرف ابراهيم </v>
      </c>
      <c r="G31">
        <v>344</v>
      </c>
      <c r="H31" t="str">
        <v xml:space="preserve">ميخائيل القس اسحق تادرس </v>
      </c>
      <c r="I31">
        <v>439</v>
      </c>
      <c r="J31" t="str">
        <v>فيلوباتير عماد لطفي ناشد</v>
      </c>
      <c r="O31">
        <v>739</v>
      </c>
      <c r="P31" t="str">
        <v xml:space="preserve">مينا روماني خلف </v>
      </c>
      <c r="Q31">
        <v>839</v>
      </c>
      <c r="R31" t="str">
        <v xml:space="preserve">كيرلس كمال كامل </v>
      </c>
    </row>
    <row r="32" spans="3:18" x14ac:dyDescent="0.25">
      <c r="E32">
        <v>241</v>
      </c>
      <c r="F32" t="str">
        <v xml:space="preserve">ماهر روماني ماهر </v>
      </c>
      <c r="G32">
        <v>345</v>
      </c>
      <c r="H32" t="str">
        <v>بولا عادل انور</v>
      </c>
      <c r="I32">
        <v>440</v>
      </c>
      <c r="J32" t="str">
        <v xml:space="preserve">فيلوباتير عيد اسحق </v>
      </c>
      <c r="O32">
        <v>740</v>
      </c>
      <c r="P32" t="str">
        <v>مينا منير امير</v>
      </c>
      <c r="Q32">
        <v>840</v>
      </c>
      <c r="R32" t="str">
        <v xml:space="preserve">كيرلس كمال ماهر </v>
      </c>
    </row>
    <row r="33" spans="5:18" x14ac:dyDescent="0.25">
      <c r="E33">
        <v>242</v>
      </c>
      <c r="F33" t="str">
        <v>مينا رافت حلمي</v>
      </c>
      <c r="G33">
        <v>346</v>
      </c>
      <c r="H33" t="str">
        <v xml:space="preserve">مارتن مجدي جمال </v>
      </c>
      <c r="I33">
        <v>441</v>
      </c>
      <c r="J33" t="str">
        <v xml:space="preserve">فيلوباتير مايكل تادرس </v>
      </c>
      <c r="O33">
        <v>741</v>
      </c>
      <c r="P33" t="str">
        <v>وائل هلال لمعي</v>
      </c>
      <c r="Q33">
        <v>841</v>
      </c>
      <c r="R33" t="str">
        <v xml:space="preserve">كيرلس مينا محب </v>
      </c>
    </row>
    <row r="34" spans="5:18" x14ac:dyDescent="0.25">
      <c r="E34">
        <v>243</v>
      </c>
      <c r="F34" t="str">
        <v xml:space="preserve">يوسف عادل حليم </v>
      </c>
      <c r="G34">
        <v>347</v>
      </c>
      <c r="H34" t="str">
        <v>بيير ماجد عريان</v>
      </c>
      <c r="I34">
        <v>442</v>
      </c>
      <c r="J34" t="str">
        <v>كاراس رامي رمزي</v>
      </c>
      <c r="O34">
        <v>742</v>
      </c>
      <c r="P34" t="str">
        <v>يوسف شنودة</v>
      </c>
      <c r="Q34">
        <v>842</v>
      </c>
      <c r="R34" t="str">
        <v xml:space="preserve">كيفين هاني ادوارد </v>
      </c>
    </row>
    <row r="35" spans="5:18" x14ac:dyDescent="0.25">
      <c r="E35">
        <v>244</v>
      </c>
      <c r="F35" t="str">
        <v xml:space="preserve">يوسف فيكتور نبيل </v>
      </c>
      <c r="G35">
        <v>348</v>
      </c>
      <c r="H35" t="str">
        <v>كيرلس مدحت جورج</v>
      </c>
      <c r="I35">
        <v>443</v>
      </c>
      <c r="J35" t="str">
        <v>كيرلس مراد ماهر</v>
      </c>
      <c r="O35">
        <v>743</v>
      </c>
      <c r="P35" t="str">
        <v xml:space="preserve">يوسف ميرو ممدوح </v>
      </c>
      <c r="Q35">
        <v>843</v>
      </c>
      <c r="R35" t="str">
        <v>مارتن انور فتحي</v>
      </c>
    </row>
    <row r="36" spans="5:18" x14ac:dyDescent="0.25">
      <c r="E36">
        <v>245</v>
      </c>
      <c r="F36" t="str">
        <v>بيشوي عماد نجيب</v>
      </c>
      <c r="G36">
        <v>349</v>
      </c>
      <c r="H36" t="str">
        <v>ماركو صفوت حبيب</v>
      </c>
      <c r="I36">
        <v>444</v>
      </c>
      <c r="J36" t="str">
        <v xml:space="preserve">ماثيو موسي مكاري </v>
      </c>
      <c r="O36">
        <v>744</v>
      </c>
      <c r="P36" t="str">
        <v>يوسف مينا مجدي</v>
      </c>
      <c r="Q36">
        <v>844</v>
      </c>
      <c r="R36" t="str">
        <v xml:space="preserve">مارتن شادي هاني </v>
      </c>
    </row>
    <row r="37" spans="5:18" x14ac:dyDescent="0.25">
      <c r="E37">
        <v>246</v>
      </c>
      <c r="F37" t="str">
        <v>اندرو مخلص بطرس</v>
      </c>
      <c r="G37">
        <v>350</v>
      </c>
      <c r="H37" t="str">
        <v>جوستن تامر وجدي</v>
      </c>
      <c r="I37">
        <v>445</v>
      </c>
      <c r="J37" t="str">
        <v xml:space="preserve">مارتن ماجد شوقي </v>
      </c>
      <c r="O37">
        <v>745</v>
      </c>
      <c r="P37" t="str">
        <v>مينا عماد عدلي</v>
      </c>
      <c r="Q37">
        <v>845</v>
      </c>
      <c r="R37" t="str">
        <v>مارك اشرف عادلي</v>
      </c>
    </row>
    <row r="38" spans="5:18" x14ac:dyDescent="0.25">
      <c r="E38">
        <v>247</v>
      </c>
      <c r="F38" t="str">
        <v>يوسف جيمي ادور</v>
      </c>
      <c r="G38">
        <v>351</v>
      </c>
      <c r="H38" t="str">
        <v>جرجس بيتر البرت</v>
      </c>
      <c r="I38">
        <v>446</v>
      </c>
      <c r="J38" t="str">
        <v xml:space="preserve">مايكل سامي جابر </v>
      </c>
      <c r="O38">
        <v>746</v>
      </c>
      <c r="P38" t="str">
        <v>فادي مينا عاطف</v>
      </c>
      <c r="Q38">
        <v>846</v>
      </c>
      <c r="R38" t="str">
        <v xml:space="preserve">مارك دانيال لبيب </v>
      </c>
    </row>
    <row r="39" spans="5:18" x14ac:dyDescent="0.25">
      <c r="E39">
        <v>248</v>
      </c>
      <c r="F39" t="str">
        <v>ماثيو سامح فايز</v>
      </c>
      <c r="I39">
        <v>448</v>
      </c>
      <c r="J39" t="str">
        <v xml:space="preserve">مينا رفعت شحاته </v>
      </c>
      <c r="Q39">
        <v>847</v>
      </c>
      <c r="R39" t="str">
        <v xml:space="preserve">مارك سامح لوقا </v>
      </c>
    </row>
    <row r="40" spans="5:18" x14ac:dyDescent="0.25">
      <c r="E40">
        <v>249</v>
      </c>
      <c r="F40" t="str">
        <v>بولا يسري شوقي</v>
      </c>
      <c r="I40">
        <v>449</v>
      </c>
      <c r="J40" t="str">
        <v>يوسف امير عادل ونجد</v>
      </c>
      <c r="Q40">
        <v>848</v>
      </c>
      <c r="R40" t="str">
        <v xml:space="preserve">مارك وسيم موريس </v>
      </c>
    </row>
    <row r="41" spans="5:18" x14ac:dyDescent="0.25">
      <c r="E41">
        <v>250</v>
      </c>
      <c r="F41" t="str">
        <v>مينا سعد ميخائيل</v>
      </c>
      <c r="I41">
        <v>450</v>
      </c>
      <c r="J41" t="str">
        <v>مينا عماد صموئيل</v>
      </c>
      <c r="Q41">
        <v>849</v>
      </c>
      <c r="R41" t="str">
        <v xml:space="preserve">مايكل اشرف ابراهيم </v>
      </c>
    </row>
    <row r="42" spans="5:18" x14ac:dyDescent="0.25">
      <c r="E42">
        <v>251</v>
      </c>
      <c r="F42" t="str">
        <v>حبيب ايهاب</v>
      </c>
      <c r="I42">
        <v>451</v>
      </c>
      <c r="J42" t="str">
        <v xml:space="preserve">فيليب امير منير </v>
      </c>
      <c r="Q42">
        <v>850</v>
      </c>
      <c r="R42" t="str">
        <v>مجدي سامح عادل وهيب</v>
      </c>
    </row>
    <row r="43" spans="5:18" x14ac:dyDescent="0.25">
      <c r="E43">
        <v>253</v>
      </c>
      <c r="F43" t="str">
        <v>كيرلس فايق ماهر</v>
      </c>
      <c r="Q43">
        <v>851</v>
      </c>
      <c r="R43" t="str">
        <v xml:space="preserve">مكاريوس سمير مهاود </v>
      </c>
    </row>
    <row r="44" spans="5:18" x14ac:dyDescent="0.25">
      <c r="E44">
        <v>254</v>
      </c>
      <c r="F44" t="str">
        <v>بيتر ماهر عزمي</v>
      </c>
      <c r="Q44">
        <v>852</v>
      </c>
      <c r="R44" t="str">
        <v xml:space="preserve">مكاريوس مايكل مايكل </v>
      </c>
    </row>
    <row r="45" spans="5:18" x14ac:dyDescent="0.25">
      <c r="E45">
        <v>255</v>
      </c>
      <c r="F45" t="str">
        <v>وسام جابر ابراهيم</v>
      </c>
      <c r="Q45">
        <v>853</v>
      </c>
      <c r="R45" t="str">
        <v xml:space="preserve">مينا اشرف اسحاق </v>
      </c>
    </row>
    <row r="46" spans="5:18" x14ac:dyDescent="0.25">
      <c r="E46">
        <v>256</v>
      </c>
      <c r="F46" t="str">
        <v>جورج اشرف اميل</v>
      </c>
      <c r="Q46">
        <v>854</v>
      </c>
      <c r="R46" t="str">
        <v xml:space="preserve">مينا ايمن لطيف </v>
      </c>
    </row>
    <row r="47" spans="5:18" x14ac:dyDescent="0.25">
      <c r="E47">
        <v>257</v>
      </c>
      <c r="F47" t="str">
        <v>دانيال جوزيف انجلو</v>
      </c>
      <c r="Q47">
        <v>855</v>
      </c>
      <c r="R47" t="str">
        <v xml:space="preserve">مينا ماجد نجيب </v>
      </c>
    </row>
    <row r="48" spans="5:18" x14ac:dyDescent="0.25">
      <c r="Q48">
        <v>856</v>
      </c>
      <c r="R48" t="str">
        <v xml:space="preserve">مينا مدحت سمير </v>
      </c>
    </row>
    <row r="49" spans="17:18" x14ac:dyDescent="0.25">
      <c r="Q49">
        <v>857</v>
      </c>
      <c r="R49" t="str">
        <v xml:space="preserve">مينا وحيد كمال </v>
      </c>
    </row>
    <row r="50" spans="17:18" x14ac:dyDescent="0.25">
      <c r="Q50">
        <v>858</v>
      </c>
      <c r="R50" t="str">
        <v xml:space="preserve">هاني حنا مكرم </v>
      </c>
    </row>
    <row r="51" spans="17:18" x14ac:dyDescent="0.25">
      <c r="Q51">
        <v>859</v>
      </c>
      <c r="R51" t="str">
        <v>يوسف اشرف يوسف</v>
      </c>
    </row>
    <row r="52" spans="17:18" x14ac:dyDescent="0.25">
      <c r="Q52">
        <v>860</v>
      </c>
      <c r="R52" t="str">
        <v xml:space="preserve">يوسف اشرف جورج </v>
      </c>
    </row>
    <row r="53" spans="17:18" x14ac:dyDescent="0.25">
      <c r="Q53">
        <v>861</v>
      </c>
      <c r="R53" t="str">
        <v xml:space="preserve">يوسف باسم جورج </v>
      </c>
    </row>
    <row r="54" spans="17:18" x14ac:dyDescent="0.25">
      <c r="Q54">
        <v>862</v>
      </c>
      <c r="R54" t="str">
        <v xml:space="preserve">يوسف بولا جميل </v>
      </c>
    </row>
    <row r="55" spans="17:18" x14ac:dyDescent="0.25">
      <c r="Q55">
        <v>863</v>
      </c>
      <c r="R55" t="str">
        <v xml:space="preserve">يوسف حنا ابو الخير </v>
      </c>
    </row>
    <row r="56" spans="17:18" x14ac:dyDescent="0.25">
      <c r="Q56">
        <v>864</v>
      </c>
      <c r="R56" t="str">
        <v>يوسف رضا يونان الشهيد</v>
      </c>
    </row>
    <row r="57" spans="17:18" x14ac:dyDescent="0.25">
      <c r="Q57">
        <v>865</v>
      </c>
      <c r="R57" t="str">
        <v>كيرلس هاني فوزي</v>
      </c>
    </row>
    <row r="58" spans="17:18" x14ac:dyDescent="0.25">
      <c r="Q58">
        <v>866</v>
      </c>
      <c r="R58" t="str">
        <v>بيشوي مجدي مكرم</v>
      </c>
    </row>
    <row r="59" spans="17:18" x14ac:dyDescent="0.25">
      <c r="Q59">
        <v>867</v>
      </c>
      <c r="R59" t="str">
        <v>مينا ماجد ايوب</v>
      </c>
    </row>
    <row r="60" spans="17:18" x14ac:dyDescent="0.25">
      <c r="Q60">
        <v>868</v>
      </c>
      <c r="R60" t="str">
        <v>ابانوب منسي جون</v>
      </c>
    </row>
    <row r="61" spans="17:18" x14ac:dyDescent="0.25">
      <c r="Q61">
        <v>869</v>
      </c>
      <c r="R61" t="str">
        <v>يوسف نشات رزق الله</v>
      </c>
    </row>
    <row r="62" spans="17:18" x14ac:dyDescent="0.25">
      <c r="Q62">
        <v>870</v>
      </c>
      <c r="R62" t="str">
        <v>ستيفن اشرف عزيز</v>
      </c>
    </row>
    <row r="63" spans="17:18" x14ac:dyDescent="0.25">
      <c r="Q63">
        <v>871</v>
      </c>
      <c r="R63" t="str">
        <v>ابانوب هاني محروس</v>
      </c>
    </row>
    <row r="64" spans="17:18" x14ac:dyDescent="0.25">
      <c r="Q64">
        <v>872</v>
      </c>
      <c r="R64" t="str">
        <v>فيلوباتير سامي نمر</v>
      </c>
    </row>
    <row r="65" spans="17:18" x14ac:dyDescent="0.25">
      <c r="Q65">
        <v>873</v>
      </c>
      <c r="R65" t="str">
        <v>بافلي كمال رزق الله</v>
      </c>
    </row>
    <row r="66" spans="17:18" x14ac:dyDescent="0.25">
      <c r="Q66">
        <v>874</v>
      </c>
      <c r="R66" t="str">
        <v xml:space="preserve">فيلوباتير جورج صمؤيل </v>
      </c>
    </row>
    <row r="67" spans="17:18" x14ac:dyDescent="0.25">
      <c r="Q67">
        <v>875</v>
      </c>
      <c r="R67" t="str">
        <v xml:space="preserve">دانيال شنوده تادرس </v>
      </c>
    </row>
    <row r="68" spans="17:18" x14ac:dyDescent="0.25">
      <c r="Q68">
        <v>876</v>
      </c>
      <c r="R68" t="str">
        <v>ابرام ريمون عربي زهري</v>
      </c>
    </row>
    <row r="69" spans="17:18" x14ac:dyDescent="0.25">
      <c r="Q69">
        <v>877</v>
      </c>
      <c r="R69" t="str">
        <v>ابرام ممدوح سمير</v>
      </c>
    </row>
    <row r="70" spans="17:18" x14ac:dyDescent="0.25">
      <c r="Q70">
        <v>878</v>
      </c>
      <c r="R70" t="str">
        <v xml:space="preserve">بافلي اديب سمير </v>
      </c>
    </row>
    <row r="71" spans="17:18" x14ac:dyDescent="0.25">
      <c r="Q71">
        <v>879</v>
      </c>
      <c r="R71" t="str">
        <v xml:space="preserve">ميشيل اكرامي حبيب </v>
      </c>
    </row>
    <row r="72" spans="17:18" x14ac:dyDescent="0.25">
      <c r="Q72">
        <v>880</v>
      </c>
      <c r="R72" t="str">
        <v xml:space="preserve">نوفير اسامة حنا </v>
      </c>
    </row>
    <row r="73" spans="17:18" x14ac:dyDescent="0.25">
      <c r="Q73">
        <v>881</v>
      </c>
      <c r="R73" t="str">
        <v xml:space="preserve">يوسف ريمون فؤاد </v>
      </c>
    </row>
    <row r="74" spans="17:18" x14ac:dyDescent="0.25">
      <c r="Q74">
        <v>882</v>
      </c>
      <c r="R74" t="str">
        <v xml:space="preserve">فرانك عصام جرجس </v>
      </c>
    </row>
    <row r="75" spans="17:18" x14ac:dyDescent="0.25">
      <c r="Q75">
        <v>883</v>
      </c>
      <c r="R75" t="str">
        <v>جورج نشات جورج</v>
      </c>
    </row>
    <row r="76" spans="17:18" x14ac:dyDescent="0.25">
      <c r="Q76">
        <v>884</v>
      </c>
      <c r="R76" t="str">
        <v xml:space="preserve"> بيشوي سامح</v>
      </c>
    </row>
    <row r="77" spans="17:18" x14ac:dyDescent="0.25">
      <c r="Q77">
        <v>885</v>
      </c>
      <c r="R77" t="str">
        <v xml:space="preserve"> كيرلس ناصر</v>
      </c>
    </row>
    <row r="78" spans="17:18" x14ac:dyDescent="0.25">
      <c r="Q78">
        <v>886</v>
      </c>
      <c r="R78" t="str">
        <v xml:space="preserve"> كيرلس فايق ماهر </v>
      </c>
    </row>
    <row r="79" spans="17:18" x14ac:dyDescent="0.25">
      <c r="Q79">
        <v>887</v>
      </c>
      <c r="R79" t="str">
        <v xml:space="preserve"> كيرلس راضي لطفي </v>
      </c>
    </row>
    <row r="80" spans="17:18" x14ac:dyDescent="0.25">
      <c r="Q80">
        <v>888</v>
      </c>
      <c r="R80" t="str">
        <v>جوزيف اشرف سمير</v>
      </c>
    </row>
    <row r="81" spans="17:18" x14ac:dyDescent="0.25">
      <c r="Q81">
        <v>889</v>
      </c>
      <c r="R81" t="str">
        <v>يوسف مسامح يوسف</v>
      </c>
    </row>
    <row r="82" spans="17:18" x14ac:dyDescent="0.25">
      <c r="Q82">
        <v>890</v>
      </c>
      <c r="R82" t="str">
        <v>كيرلس هاني منصور</v>
      </c>
    </row>
    <row r="83" spans="17:18" x14ac:dyDescent="0.25">
      <c r="Q83">
        <v>891</v>
      </c>
      <c r="R83" t="str">
        <v>كيرلس ناصر اليكسان</v>
      </c>
    </row>
    <row r="84" spans="17:18" x14ac:dyDescent="0.25">
      <c r="Q84">
        <v>892</v>
      </c>
      <c r="R84" t="str">
        <v>يوسف الامير جمال</v>
      </c>
    </row>
    <row r="85" spans="17:18" x14ac:dyDescent="0.25">
      <c r="Q85">
        <v>893</v>
      </c>
      <c r="R85" t="str">
        <v>كيرلس بولس عشم</v>
      </c>
    </row>
    <row r="86" spans="17:18" x14ac:dyDescent="0.25">
      <c r="Q86">
        <v>894</v>
      </c>
      <c r="R86" t="str">
        <v>مينا عاطف داود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D373BAE-F40E-444A-92EB-38843BC892A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 sheet</vt:lpstr>
      <vt:lpstr>Details</vt:lpstr>
      <vt:lpstr>Att DB</vt:lpstr>
      <vt:lpstr>Att log</vt:lpstr>
      <vt:lpstr>Details_Filtered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Deel</dc:creator>
  <cp:lastModifiedBy>Kyrillos Morgan</cp:lastModifiedBy>
  <dcterms:created xsi:type="dcterms:W3CDTF">2015-06-05T18:17:20Z</dcterms:created>
  <dcterms:modified xsi:type="dcterms:W3CDTF">2023-12-25T07:27:45Z</dcterms:modified>
</cp:coreProperties>
</file>